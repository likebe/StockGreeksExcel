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keb\Documents\Columbia Documents\Spring 2020\Numerical Method\HW1\"/>
    </mc:Choice>
  </mc:AlternateContent>
  <xr:revisionPtr revIDLastSave="0" documentId="13_ncr:1_{5FA4B1FD-6893-483E-8A84-B252F41C933A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B14" i="1" l="1"/>
  <c r="G10" i="1" s="1"/>
  <c r="B12" i="1"/>
  <c r="B8" i="1"/>
  <c r="B17" i="1" s="1"/>
  <c r="B16" i="1"/>
  <c r="B13" i="1"/>
  <c r="B11" i="1" l="1"/>
  <c r="G11" i="1"/>
  <c r="B15" i="1"/>
</calcChain>
</file>

<file path=xl/sharedStrings.xml><?xml version="1.0" encoding="utf-8"?>
<sst xmlns="http://schemas.openxmlformats.org/spreadsheetml/2006/main" count="34" uniqueCount="34">
  <si>
    <t>Spot Price</t>
  </si>
  <si>
    <t>Domestic Interest Rate</t>
  </si>
  <si>
    <t>Foreign Interest Rate</t>
  </si>
  <si>
    <t>Volatility</t>
  </si>
  <si>
    <t>Strike Price</t>
  </si>
  <si>
    <t>Today's Date</t>
  </si>
  <si>
    <t>Expiration Date</t>
  </si>
  <si>
    <t>USER INPUTS</t>
  </si>
  <si>
    <t>Value</t>
  </si>
  <si>
    <t>Delta</t>
  </si>
  <si>
    <t>Gamma</t>
  </si>
  <si>
    <t>Vega</t>
  </si>
  <si>
    <t>Theta</t>
  </si>
  <si>
    <t>Phi</t>
  </si>
  <si>
    <t>Rho</t>
  </si>
  <si>
    <t>d1</t>
  </si>
  <si>
    <t>d2</t>
  </si>
  <si>
    <t>Outputs for European Call Options</t>
  </si>
  <si>
    <t>Select two Greeks</t>
  </si>
  <si>
    <t>Greek1</t>
  </si>
  <si>
    <t>Greek2</t>
  </si>
  <si>
    <t>Index</t>
  </si>
  <si>
    <t>Greek Value</t>
  </si>
  <si>
    <t>Select Spots</t>
  </si>
  <si>
    <t>Starting Spot</t>
  </si>
  <si>
    <t>End Spot</t>
  </si>
  <si>
    <t># Spots in between</t>
  </si>
  <si>
    <t>counter</t>
  </si>
  <si>
    <t>Spot Value</t>
  </si>
  <si>
    <t>Greek1 Value</t>
  </si>
  <si>
    <t>Greek2 Value</t>
  </si>
  <si>
    <t>Delta(S) Value</t>
  </si>
  <si>
    <t>FRTB(S) Value</t>
  </si>
  <si>
    <t>DIFF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</si>
</sst>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9" fontId="0" fillId="0" borderId="1" xfId="0" applyNumberFormat="1" applyBorder="1"/>
    <xf numFmtId="10" fontId="0" fillId="0" borderId="1" xfId="0" applyNumberFormat="1" applyBorder="1"/>
    <xf numFmtId="0" fontId="0" fillId="0" borderId="1" xfId="0" applyFont="1" applyBorder="1"/>
    <xf numFmtId="0" fontId="1" fillId="0" borderId="0" xfId="0" applyFont="1" applyFill="1" applyBorder="1"/>
    <xf numFmtId="0" fontId="1" fillId="0" borderId="1" xfId="0" applyFont="1" applyFill="1" applyBorder="1"/>
    <xf numFmtId="2" fontId="0" fillId="0" borderId="0" xfId="0" applyNumberFormat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Spot-Greek1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Sheet1!$J$1</c:f>
              <c:strCache>
                <c:ptCount val="1"/>
                <c:pt idx="0">
                  <c:v>Greek1 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Sheet1!$I:$I</c15:sqref>
                  </c15:fullRef>
                </c:ext>
              </c:extLst>
              <c:f>Sheet1!$I$2:$I$1048576</c:f>
              <c:strCache>
                <c:ptCount val="101"/>
                <c:pt idx="0">
                  <c:v>50.00</c:v>
                </c:pt>
                <c:pt idx="1">
                  <c:v>51.50</c:v>
                </c:pt>
                <c:pt idx="2">
                  <c:v>53.00</c:v>
                </c:pt>
                <c:pt idx="3">
                  <c:v>54.50</c:v>
                </c:pt>
                <c:pt idx="4">
                  <c:v>56.00</c:v>
                </c:pt>
                <c:pt idx="5">
                  <c:v>57.50</c:v>
                </c:pt>
                <c:pt idx="6">
                  <c:v>59.00</c:v>
                </c:pt>
                <c:pt idx="7">
                  <c:v>60.50</c:v>
                </c:pt>
                <c:pt idx="8">
                  <c:v>62.00</c:v>
                </c:pt>
                <c:pt idx="9">
                  <c:v>63.50</c:v>
                </c:pt>
                <c:pt idx="10">
                  <c:v>65.00</c:v>
                </c:pt>
                <c:pt idx="11">
                  <c:v>66.50</c:v>
                </c:pt>
                <c:pt idx="12">
                  <c:v>68.00</c:v>
                </c:pt>
                <c:pt idx="13">
                  <c:v>69.50</c:v>
                </c:pt>
                <c:pt idx="14">
                  <c:v>71.00</c:v>
                </c:pt>
                <c:pt idx="15">
                  <c:v>72.50</c:v>
                </c:pt>
                <c:pt idx="16">
                  <c:v>74.00</c:v>
                </c:pt>
                <c:pt idx="17">
                  <c:v>75.50</c:v>
                </c:pt>
                <c:pt idx="18">
                  <c:v>77.00</c:v>
                </c:pt>
                <c:pt idx="19">
                  <c:v>78.50</c:v>
                </c:pt>
                <c:pt idx="20">
                  <c:v>80.00</c:v>
                </c:pt>
                <c:pt idx="21">
                  <c:v>81.50</c:v>
                </c:pt>
                <c:pt idx="22">
                  <c:v>83.00</c:v>
                </c:pt>
                <c:pt idx="23">
                  <c:v>84.50</c:v>
                </c:pt>
                <c:pt idx="24">
                  <c:v>86.00</c:v>
                </c:pt>
                <c:pt idx="25">
                  <c:v>87.50</c:v>
                </c:pt>
                <c:pt idx="26">
                  <c:v>89.00</c:v>
                </c:pt>
                <c:pt idx="27">
                  <c:v>90.50</c:v>
                </c:pt>
                <c:pt idx="28">
                  <c:v>92.00</c:v>
                </c:pt>
                <c:pt idx="29">
                  <c:v>93.50</c:v>
                </c:pt>
                <c:pt idx="30">
                  <c:v>95.00</c:v>
                </c:pt>
                <c:pt idx="31">
                  <c:v>96.50</c:v>
                </c:pt>
                <c:pt idx="32">
                  <c:v>98.00</c:v>
                </c:pt>
                <c:pt idx="33">
                  <c:v>99.50</c:v>
                </c:pt>
                <c:pt idx="34">
                  <c:v>101.00</c:v>
                </c:pt>
                <c:pt idx="35">
                  <c:v>102.50</c:v>
                </c:pt>
                <c:pt idx="36">
                  <c:v>104.00</c:v>
                </c:pt>
                <c:pt idx="37">
                  <c:v>105.50</c:v>
                </c:pt>
                <c:pt idx="38">
                  <c:v>107.00</c:v>
                </c:pt>
                <c:pt idx="39">
                  <c:v>108.50</c:v>
                </c:pt>
                <c:pt idx="40">
                  <c:v>110.00</c:v>
                </c:pt>
                <c:pt idx="41">
                  <c:v>111.50</c:v>
                </c:pt>
                <c:pt idx="42">
                  <c:v>113.00</c:v>
                </c:pt>
                <c:pt idx="43">
                  <c:v>114.50</c:v>
                </c:pt>
                <c:pt idx="44">
                  <c:v>116.00</c:v>
                </c:pt>
                <c:pt idx="45">
                  <c:v>117.50</c:v>
                </c:pt>
                <c:pt idx="46">
                  <c:v>119.00</c:v>
                </c:pt>
                <c:pt idx="47">
                  <c:v>120.50</c:v>
                </c:pt>
                <c:pt idx="48">
                  <c:v>122.00</c:v>
                </c:pt>
                <c:pt idx="49">
                  <c:v>123.50</c:v>
                </c:pt>
                <c:pt idx="50">
                  <c:v>125.00</c:v>
                </c:pt>
                <c:pt idx="51">
                  <c:v>126.50</c:v>
                </c:pt>
                <c:pt idx="52">
                  <c:v>128.00</c:v>
                </c:pt>
                <c:pt idx="53">
                  <c:v>129.50</c:v>
                </c:pt>
                <c:pt idx="54">
                  <c:v>131.00</c:v>
                </c:pt>
                <c:pt idx="55">
                  <c:v>132.50</c:v>
                </c:pt>
                <c:pt idx="56">
                  <c:v>134.00</c:v>
                </c:pt>
                <c:pt idx="57">
                  <c:v>135.50</c:v>
                </c:pt>
                <c:pt idx="58">
                  <c:v>137.00</c:v>
                </c:pt>
                <c:pt idx="59">
                  <c:v>138.50</c:v>
                </c:pt>
                <c:pt idx="60">
                  <c:v>140.00</c:v>
                </c:pt>
                <c:pt idx="61">
                  <c:v>141.50</c:v>
                </c:pt>
                <c:pt idx="62">
                  <c:v>143.00</c:v>
                </c:pt>
                <c:pt idx="63">
                  <c:v>144.50</c:v>
                </c:pt>
                <c:pt idx="64">
                  <c:v>146.00</c:v>
                </c:pt>
                <c:pt idx="65">
                  <c:v>147.50</c:v>
                </c:pt>
                <c:pt idx="66">
                  <c:v>149.00</c:v>
                </c:pt>
                <c:pt idx="67">
                  <c:v>150.50</c:v>
                </c:pt>
                <c:pt idx="68">
                  <c:v>152.00</c:v>
                </c:pt>
                <c:pt idx="69">
                  <c:v>153.50</c:v>
                </c:pt>
                <c:pt idx="70">
                  <c:v>155.00</c:v>
                </c:pt>
                <c:pt idx="71">
                  <c:v>156.50</c:v>
                </c:pt>
                <c:pt idx="72">
                  <c:v>158.00</c:v>
                </c:pt>
                <c:pt idx="73">
                  <c:v>159.50</c:v>
                </c:pt>
                <c:pt idx="74">
                  <c:v>161.00</c:v>
                </c:pt>
                <c:pt idx="75">
                  <c:v>162.50</c:v>
                </c:pt>
                <c:pt idx="76">
                  <c:v>164.00</c:v>
                </c:pt>
                <c:pt idx="77">
                  <c:v>165.50</c:v>
                </c:pt>
                <c:pt idx="78">
                  <c:v>167.00</c:v>
                </c:pt>
                <c:pt idx="79">
                  <c:v>168.50</c:v>
                </c:pt>
                <c:pt idx="80">
                  <c:v>170.00</c:v>
                </c:pt>
                <c:pt idx="81">
                  <c:v>171.50</c:v>
                </c:pt>
                <c:pt idx="82">
                  <c:v>173.00</c:v>
                </c:pt>
                <c:pt idx="83">
                  <c:v>174.50</c:v>
                </c:pt>
                <c:pt idx="84">
                  <c:v>176.00</c:v>
                </c:pt>
                <c:pt idx="85">
                  <c:v>177.50</c:v>
                </c:pt>
                <c:pt idx="86">
                  <c:v>179.00</c:v>
                </c:pt>
                <c:pt idx="87">
                  <c:v>180.50</c:v>
                </c:pt>
                <c:pt idx="88">
                  <c:v>182.00</c:v>
                </c:pt>
                <c:pt idx="89">
                  <c:v>183.50</c:v>
                </c:pt>
                <c:pt idx="90">
                  <c:v>185.00</c:v>
                </c:pt>
                <c:pt idx="91">
                  <c:v>186.50</c:v>
                </c:pt>
                <c:pt idx="92">
                  <c:v>188.00</c:v>
                </c:pt>
                <c:pt idx="93">
                  <c:v>189.50</c:v>
                </c:pt>
                <c:pt idx="94">
                  <c:v>191.00</c:v>
                </c:pt>
                <c:pt idx="95">
                  <c:v>192.50</c:v>
                </c:pt>
                <c:pt idx="96">
                  <c:v>194.00</c:v>
                </c:pt>
                <c:pt idx="97">
                  <c:v>195.50</c:v>
                </c:pt>
                <c:pt idx="98">
                  <c:v>197.00</c:v>
                </c:pt>
                <c:pt idx="99">
                  <c:v>198.50</c:v>
                </c:pt>
                <c:pt idx="100">
                  <c:v>200.00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Sheet1!$J$2:$J$102</c15:sqref>
                  </c15:fullRef>
                </c:ext>
              </c:extLst>
              <c:f>Sheet1!$J$3:$J$102</c:f>
              <c:numCache>
                <c:formatCode>General</c:formatCode>
                <c:ptCount val="100"/>
                <c:pt idx="0">
                  <c:v>2.4845656728640241E-61</c:v>
                </c:pt>
                <c:pt idx="1">
                  <c:v>2.7085382079754416E-57</c:v>
                </c:pt>
                <c:pt idx="2">
                  <c:v>1.6669539592313786E-53</c:v>
                </c:pt>
                <c:pt idx="3">
                  <c:v>6.0251683786170199E-50</c:v>
                </c:pt>
                <c:pt idx="4">
                  <c:v>1.3257917824203522E-46</c:v>
                </c:pt>
                <c:pt idx="5">
                  <c:v>1.8351463379044699E-43</c:v>
                </c:pt>
                <c:pt idx="6">
                  <c:v>1.6464936737055321E-40</c:v>
                </c:pt>
                <c:pt idx="7">
                  <c:v>9.8413679685063114E-38</c:v>
                </c:pt>
                <c:pt idx="8">
                  <c:v>4.0187483051529729E-35</c:v>
                </c:pt>
                <c:pt idx="9">
                  <c:v>1.1474191185378851E-32</c:v>
                </c:pt>
                <c:pt idx="10">
                  <c:v>2.339997967961939E-30</c:v>
                </c:pt>
                <c:pt idx="11">
                  <c:v>3.4763617140091774E-28</c:v>
                </c:pt>
                <c:pt idx="12">
                  <c:v>3.8314292008917116E-26</c:v>
                </c:pt>
                <c:pt idx="13">
                  <c:v>3.1860339558994405E-24</c:v>
                </c:pt>
                <c:pt idx="14">
                  <c:v>2.0304495748213191E-22</c:v>
                </c:pt>
                <c:pt idx="15">
                  <c:v>1.0062453597522668E-20</c:v>
                </c:pt>
                <c:pt idx="16">
                  <c:v>3.9306582817719602E-19</c:v>
                </c:pt>
                <c:pt idx="17">
                  <c:v>1.2256231006912691E-17</c:v>
                </c:pt>
                <c:pt idx="18">
                  <c:v>3.0867016234643508E-16</c:v>
                </c:pt>
                <c:pt idx="19">
                  <c:v>6.348347257101144E-15</c:v>
                </c:pt>
                <c:pt idx="20">
                  <c:v>1.0772880273710072E-13</c:v>
                </c:pt>
                <c:pt idx="21">
                  <c:v>1.523017915491813E-12</c:v>
                </c:pt>
                <c:pt idx="22">
                  <c:v>1.8101740195556667E-11</c:v>
                </c:pt>
                <c:pt idx="23">
                  <c:v>1.8242411648737756E-10</c:v>
                </c:pt>
                <c:pt idx="24">
                  <c:v>1.5713717962079566E-9</c:v>
                </c:pt>
                <c:pt idx="25">
                  <c:v>1.165735676444458E-8</c:v>
                </c:pt>
                <c:pt idx="26">
                  <c:v>7.5015884233357436E-8</c:v>
                </c:pt>
                <c:pt idx="27">
                  <c:v>4.2157920954060987E-7</c:v>
                </c:pt>
                <c:pt idx="28">
                  <c:v>2.0824102065178761E-6</c:v>
                </c:pt>
                <c:pt idx="29">
                  <c:v>9.0962825486722107E-6</c:v>
                </c:pt>
                <c:pt idx="30">
                  <c:v>3.5342361408677617E-5</c:v>
                </c:pt>
                <c:pt idx="31">
                  <c:v>1.2282054275241657E-4</c:v>
                </c:pt>
                <c:pt idx="32">
                  <c:v>3.8379455722807062E-4</c:v>
                </c:pt>
                <c:pt idx="33">
                  <c:v>1.0839225698847685E-3</c:v>
                </c:pt>
                <c:pt idx="34">
                  <c:v>2.7804279385248575E-3</c:v>
                </c:pt>
                <c:pt idx="35">
                  <c:v>6.5090371812209398E-3</c:v>
                </c:pt>
                <c:pt idx="36">
                  <c:v>1.3971398126621022E-2</c:v>
                </c:pt>
                <c:pt idx="37">
                  <c:v>2.7622909673330295E-2</c:v>
                </c:pt>
                <c:pt idx="38">
                  <c:v>5.0532459029585586E-2</c:v>
                </c:pt>
                <c:pt idx="39">
                  <c:v>8.5921084142897119E-2</c:v>
                </c:pt>
                <c:pt idx="40">
                  <c:v>0.13640239334364992</c:v>
                </c:pt>
                <c:pt idx="41">
                  <c:v>0.20310739869356445</c:v>
                </c:pt>
                <c:pt idx="42">
                  <c:v>0.28499627071427613</c:v>
                </c:pt>
                <c:pt idx="43">
                  <c:v>0.37865496076499849</c:v>
                </c:pt>
                <c:pt idx="44">
                  <c:v>0.47872171246739714</c:v>
                </c:pt>
                <c:pt idx="45">
                  <c:v>0.57885046027512743</c:v>
                </c:pt>
                <c:pt idx="46">
                  <c:v>0.67291233736203415</c:v>
                </c:pt>
                <c:pt idx="47">
                  <c:v>0.75606298571217567</c:v>
                </c:pt>
                <c:pt idx="48">
                  <c:v>0.82538661490292309</c:v>
                </c:pt>
                <c:pt idx="49">
                  <c:v>0.88001077345615464</c:v>
                </c:pt>
                <c:pt idx="50">
                  <c:v>0.92077320973731624</c:v>
                </c:pt>
                <c:pt idx="51">
                  <c:v>0.94963701119910826</c:v>
                </c:pt>
                <c:pt idx="52">
                  <c:v>0.9690671133774873</c:v>
                </c:pt>
                <c:pt idx="53">
                  <c:v>0.98152375058982444</c:v>
                </c:pt>
                <c:pt idx="54">
                  <c:v>0.98914233640198457</c:v>
                </c:pt>
                <c:pt idx="55">
                  <c:v>0.99359488460621614</c:v>
                </c:pt>
                <c:pt idx="56">
                  <c:v>0.99608538906230648</c:v>
                </c:pt>
                <c:pt idx="57">
                  <c:v>0.99742065080209052</c:v>
                </c:pt>
                <c:pt idx="58">
                  <c:v>0.99810783862538832</c:v>
                </c:pt>
                <c:pt idx="59">
                  <c:v>0.99844779168657349</c:v>
                </c:pt>
                <c:pt idx="60">
                  <c:v>0.99860966583716826</c:v>
                </c:pt>
                <c:pt idx="61">
                  <c:v>0.99868395217402373</c:v>
                </c:pt>
                <c:pt idx="62">
                  <c:v>0.99871684865617982</c:v>
                </c:pt>
                <c:pt idx="63">
                  <c:v>0.99873092255987328</c:v>
                </c:pt>
                <c:pt idx="64">
                  <c:v>0.99873674627505915</c:v>
                </c:pt>
                <c:pt idx="65">
                  <c:v>0.99873907964266695</c:v>
                </c:pt>
                <c:pt idx="66">
                  <c:v>0.99873998584006041</c:v>
                </c:pt>
                <c:pt idx="67">
                  <c:v>0.99874032731675211</c:v>
                </c:pt>
                <c:pt idx="68">
                  <c:v>0.99874045229188069</c:v>
                </c:pt>
                <c:pt idx="69">
                  <c:v>0.99874049675709875</c:v>
                </c:pt>
                <c:pt idx="70">
                  <c:v>0.99874051215092852</c:v>
                </c:pt>
                <c:pt idx="71">
                  <c:v>0.99874051734111746</c:v>
                </c:pt>
                <c:pt idx="72">
                  <c:v>0.99874051904679562</c:v>
                </c:pt>
                <c:pt idx="73">
                  <c:v>0.99874051959361332</c:v>
                </c:pt>
                <c:pt idx="74">
                  <c:v>0.99874051976475708</c:v>
                </c:pt>
                <c:pt idx="75">
                  <c:v>0.99874051981709078</c:v>
                </c:pt>
                <c:pt idx="76">
                  <c:v>0.99874051983273759</c:v>
                </c:pt>
                <c:pt idx="77">
                  <c:v>0.99874051983731471</c:v>
                </c:pt>
                <c:pt idx="78">
                  <c:v>0.99874051983862566</c:v>
                </c:pt>
                <c:pt idx="79">
                  <c:v>0.99874051983899359</c:v>
                </c:pt>
                <c:pt idx="80">
                  <c:v>0.99874051983909473</c:v>
                </c:pt>
                <c:pt idx="81">
                  <c:v>0.99874051983912204</c:v>
                </c:pt>
                <c:pt idx="82">
                  <c:v>0.99874051983912926</c:v>
                </c:pt>
                <c:pt idx="83">
                  <c:v>0.99874051983913115</c:v>
                </c:pt>
                <c:pt idx="84">
                  <c:v>0.9987405198391317</c:v>
                </c:pt>
                <c:pt idx="85">
                  <c:v>0.99874051983913181</c:v>
                </c:pt>
                <c:pt idx="86">
                  <c:v>0.99874051983913181</c:v>
                </c:pt>
                <c:pt idx="87">
                  <c:v>0.99874051983913181</c:v>
                </c:pt>
                <c:pt idx="88">
                  <c:v>0.99874051983913181</c:v>
                </c:pt>
                <c:pt idx="89">
                  <c:v>0.99874051983913181</c:v>
                </c:pt>
                <c:pt idx="90">
                  <c:v>0.99874051983913181</c:v>
                </c:pt>
                <c:pt idx="91">
                  <c:v>0.99874051983913181</c:v>
                </c:pt>
                <c:pt idx="92">
                  <c:v>0.99874051983913181</c:v>
                </c:pt>
                <c:pt idx="93">
                  <c:v>0.99874051983913181</c:v>
                </c:pt>
                <c:pt idx="94">
                  <c:v>0.99874051983913181</c:v>
                </c:pt>
                <c:pt idx="95">
                  <c:v>0.99874051983913181</c:v>
                </c:pt>
                <c:pt idx="96">
                  <c:v>0.99874051983913181</c:v>
                </c:pt>
                <c:pt idx="97">
                  <c:v>0.99874051983913181</c:v>
                </c:pt>
                <c:pt idx="98">
                  <c:v>0.99874051983913181</c:v>
                </c:pt>
                <c:pt idx="99">
                  <c:v>0.99874051983913181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5D-47ED-8AB2-2C9EC1FC8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426544"/>
        <c:axId val="7354255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Sheet1!$I$1</c15:sqref>
                        </c15:formulaRef>
                      </c:ext>
                    </c:extLst>
                    <c:strCache>
                      <c:ptCount val="1"/>
                      <c:pt idx="0">
                        <c:v>Spot Value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Sheet1!$I:$I</c15:sqref>
                        </c15:fullRef>
                        <c15:formulaRef>
                          <c15:sqref>Sheet1!$I$2:$I$1048576</c15:sqref>
                        </c15:formulaRef>
                      </c:ext>
                    </c:extLst>
                    <c:strCache>
                      <c:ptCount val="101"/>
                      <c:pt idx="0">
                        <c:v>50.00</c:v>
                      </c:pt>
                      <c:pt idx="1">
                        <c:v>51.50</c:v>
                      </c:pt>
                      <c:pt idx="2">
                        <c:v>53.00</c:v>
                      </c:pt>
                      <c:pt idx="3">
                        <c:v>54.50</c:v>
                      </c:pt>
                      <c:pt idx="4">
                        <c:v>56.00</c:v>
                      </c:pt>
                      <c:pt idx="5">
                        <c:v>57.50</c:v>
                      </c:pt>
                      <c:pt idx="6">
                        <c:v>59.00</c:v>
                      </c:pt>
                      <c:pt idx="7">
                        <c:v>60.50</c:v>
                      </c:pt>
                      <c:pt idx="8">
                        <c:v>62.00</c:v>
                      </c:pt>
                      <c:pt idx="9">
                        <c:v>63.50</c:v>
                      </c:pt>
                      <c:pt idx="10">
                        <c:v>65.00</c:v>
                      </c:pt>
                      <c:pt idx="11">
                        <c:v>66.50</c:v>
                      </c:pt>
                      <c:pt idx="12">
                        <c:v>68.00</c:v>
                      </c:pt>
                      <c:pt idx="13">
                        <c:v>69.50</c:v>
                      </c:pt>
                      <c:pt idx="14">
                        <c:v>71.00</c:v>
                      </c:pt>
                      <c:pt idx="15">
                        <c:v>72.50</c:v>
                      </c:pt>
                      <c:pt idx="16">
                        <c:v>74.00</c:v>
                      </c:pt>
                      <c:pt idx="17">
                        <c:v>75.50</c:v>
                      </c:pt>
                      <c:pt idx="18">
                        <c:v>77.00</c:v>
                      </c:pt>
                      <c:pt idx="19">
                        <c:v>78.50</c:v>
                      </c:pt>
                      <c:pt idx="20">
                        <c:v>80.00</c:v>
                      </c:pt>
                      <c:pt idx="21">
                        <c:v>81.50</c:v>
                      </c:pt>
                      <c:pt idx="22">
                        <c:v>83.00</c:v>
                      </c:pt>
                      <c:pt idx="23">
                        <c:v>84.50</c:v>
                      </c:pt>
                      <c:pt idx="24">
                        <c:v>86.00</c:v>
                      </c:pt>
                      <c:pt idx="25">
                        <c:v>87.50</c:v>
                      </c:pt>
                      <c:pt idx="26">
                        <c:v>89.00</c:v>
                      </c:pt>
                      <c:pt idx="27">
                        <c:v>90.50</c:v>
                      </c:pt>
                      <c:pt idx="28">
                        <c:v>92.00</c:v>
                      </c:pt>
                      <c:pt idx="29">
                        <c:v>93.50</c:v>
                      </c:pt>
                      <c:pt idx="30">
                        <c:v>95.00</c:v>
                      </c:pt>
                      <c:pt idx="31">
                        <c:v>96.50</c:v>
                      </c:pt>
                      <c:pt idx="32">
                        <c:v>98.00</c:v>
                      </c:pt>
                      <c:pt idx="33">
                        <c:v>99.50</c:v>
                      </c:pt>
                      <c:pt idx="34">
                        <c:v>101.00</c:v>
                      </c:pt>
                      <c:pt idx="35">
                        <c:v>102.50</c:v>
                      </c:pt>
                      <c:pt idx="36">
                        <c:v>104.00</c:v>
                      </c:pt>
                      <c:pt idx="37">
                        <c:v>105.50</c:v>
                      </c:pt>
                      <c:pt idx="38">
                        <c:v>107.00</c:v>
                      </c:pt>
                      <c:pt idx="39">
                        <c:v>108.50</c:v>
                      </c:pt>
                      <c:pt idx="40">
                        <c:v>110.00</c:v>
                      </c:pt>
                      <c:pt idx="41">
                        <c:v>111.50</c:v>
                      </c:pt>
                      <c:pt idx="42">
                        <c:v>113.00</c:v>
                      </c:pt>
                      <c:pt idx="43">
                        <c:v>114.50</c:v>
                      </c:pt>
                      <c:pt idx="44">
                        <c:v>116.00</c:v>
                      </c:pt>
                      <c:pt idx="45">
                        <c:v>117.50</c:v>
                      </c:pt>
                      <c:pt idx="46">
                        <c:v>119.00</c:v>
                      </c:pt>
                      <c:pt idx="47">
                        <c:v>120.50</c:v>
                      </c:pt>
                      <c:pt idx="48">
                        <c:v>122.00</c:v>
                      </c:pt>
                      <c:pt idx="49">
                        <c:v>123.50</c:v>
                      </c:pt>
                      <c:pt idx="50">
                        <c:v>125.00</c:v>
                      </c:pt>
                      <c:pt idx="51">
                        <c:v>126.50</c:v>
                      </c:pt>
                      <c:pt idx="52">
                        <c:v>128.00</c:v>
                      </c:pt>
                      <c:pt idx="53">
                        <c:v>129.50</c:v>
                      </c:pt>
                      <c:pt idx="54">
                        <c:v>131.00</c:v>
                      </c:pt>
                      <c:pt idx="55">
                        <c:v>132.50</c:v>
                      </c:pt>
                      <c:pt idx="56">
                        <c:v>134.00</c:v>
                      </c:pt>
                      <c:pt idx="57">
                        <c:v>135.50</c:v>
                      </c:pt>
                      <c:pt idx="58">
                        <c:v>137.00</c:v>
                      </c:pt>
                      <c:pt idx="59">
                        <c:v>138.50</c:v>
                      </c:pt>
                      <c:pt idx="60">
                        <c:v>140.00</c:v>
                      </c:pt>
                      <c:pt idx="61">
                        <c:v>141.50</c:v>
                      </c:pt>
                      <c:pt idx="62">
                        <c:v>143.00</c:v>
                      </c:pt>
                      <c:pt idx="63">
                        <c:v>144.50</c:v>
                      </c:pt>
                      <c:pt idx="64">
                        <c:v>146.00</c:v>
                      </c:pt>
                      <c:pt idx="65">
                        <c:v>147.50</c:v>
                      </c:pt>
                      <c:pt idx="66">
                        <c:v>149.00</c:v>
                      </c:pt>
                      <c:pt idx="67">
                        <c:v>150.50</c:v>
                      </c:pt>
                      <c:pt idx="68">
                        <c:v>152.00</c:v>
                      </c:pt>
                      <c:pt idx="69">
                        <c:v>153.50</c:v>
                      </c:pt>
                      <c:pt idx="70">
                        <c:v>155.00</c:v>
                      </c:pt>
                      <c:pt idx="71">
                        <c:v>156.50</c:v>
                      </c:pt>
                      <c:pt idx="72">
                        <c:v>158.00</c:v>
                      </c:pt>
                      <c:pt idx="73">
                        <c:v>159.50</c:v>
                      </c:pt>
                      <c:pt idx="74">
                        <c:v>161.00</c:v>
                      </c:pt>
                      <c:pt idx="75">
                        <c:v>162.50</c:v>
                      </c:pt>
                      <c:pt idx="76">
                        <c:v>164.00</c:v>
                      </c:pt>
                      <c:pt idx="77">
                        <c:v>165.50</c:v>
                      </c:pt>
                      <c:pt idx="78">
                        <c:v>167.00</c:v>
                      </c:pt>
                      <c:pt idx="79">
                        <c:v>168.50</c:v>
                      </c:pt>
                      <c:pt idx="80">
                        <c:v>170.00</c:v>
                      </c:pt>
                      <c:pt idx="81">
                        <c:v>171.50</c:v>
                      </c:pt>
                      <c:pt idx="82">
                        <c:v>173.00</c:v>
                      </c:pt>
                      <c:pt idx="83">
                        <c:v>174.50</c:v>
                      </c:pt>
                      <c:pt idx="84">
                        <c:v>176.00</c:v>
                      </c:pt>
                      <c:pt idx="85">
                        <c:v>177.50</c:v>
                      </c:pt>
                      <c:pt idx="86">
                        <c:v>179.00</c:v>
                      </c:pt>
                      <c:pt idx="87">
                        <c:v>180.50</c:v>
                      </c:pt>
                      <c:pt idx="88">
                        <c:v>182.00</c:v>
                      </c:pt>
                      <c:pt idx="89">
                        <c:v>183.50</c:v>
                      </c:pt>
                      <c:pt idx="90">
                        <c:v>185.00</c:v>
                      </c:pt>
                      <c:pt idx="91">
                        <c:v>186.50</c:v>
                      </c:pt>
                      <c:pt idx="92">
                        <c:v>188.00</c:v>
                      </c:pt>
                      <c:pt idx="93">
                        <c:v>189.50</c:v>
                      </c:pt>
                      <c:pt idx="94">
                        <c:v>191.00</c:v>
                      </c:pt>
                      <c:pt idx="95">
                        <c:v>192.50</c:v>
                      </c:pt>
                      <c:pt idx="96">
                        <c:v>194.00</c:v>
                      </c:pt>
                      <c:pt idx="97">
                        <c:v>195.50</c:v>
                      </c:pt>
                      <c:pt idx="98">
                        <c:v>197.00</c:v>
                      </c:pt>
                      <c:pt idx="99">
                        <c:v>198.50</c:v>
                      </c:pt>
                      <c:pt idx="100">
                        <c:v>200.00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Sheet1!$I$2:$I$102</c15:sqref>
                        </c15:fullRef>
                        <c15:formulaRef>
                          <c15:sqref>Sheet1!$I$3:$I$102</c15:sqref>
                        </c15:formulaRef>
                      </c:ext>
                    </c:extLst>
                    <c:numCache>
                      <c:formatCode>0.00</c:formatCode>
                      <c:ptCount val="100"/>
                      <c:pt idx="0">
                        <c:v>51.5</c:v>
                      </c:pt>
                      <c:pt idx="1">
                        <c:v>53</c:v>
                      </c:pt>
                      <c:pt idx="2">
                        <c:v>54.5</c:v>
                      </c:pt>
                      <c:pt idx="3">
                        <c:v>56</c:v>
                      </c:pt>
                      <c:pt idx="4">
                        <c:v>57.5</c:v>
                      </c:pt>
                      <c:pt idx="5">
                        <c:v>59</c:v>
                      </c:pt>
                      <c:pt idx="6">
                        <c:v>60.5</c:v>
                      </c:pt>
                      <c:pt idx="7">
                        <c:v>62</c:v>
                      </c:pt>
                      <c:pt idx="8">
                        <c:v>63.5</c:v>
                      </c:pt>
                      <c:pt idx="9">
                        <c:v>65</c:v>
                      </c:pt>
                      <c:pt idx="10">
                        <c:v>66.5</c:v>
                      </c:pt>
                      <c:pt idx="11">
                        <c:v>68</c:v>
                      </c:pt>
                      <c:pt idx="12">
                        <c:v>69.5</c:v>
                      </c:pt>
                      <c:pt idx="13">
                        <c:v>71</c:v>
                      </c:pt>
                      <c:pt idx="14">
                        <c:v>72.5</c:v>
                      </c:pt>
                      <c:pt idx="15">
                        <c:v>74</c:v>
                      </c:pt>
                      <c:pt idx="16">
                        <c:v>75.5</c:v>
                      </c:pt>
                      <c:pt idx="17">
                        <c:v>77</c:v>
                      </c:pt>
                      <c:pt idx="18">
                        <c:v>78.5</c:v>
                      </c:pt>
                      <c:pt idx="19">
                        <c:v>80</c:v>
                      </c:pt>
                      <c:pt idx="20">
                        <c:v>81.5</c:v>
                      </c:pt>
                      <c:pt idx="21">
                        <c:v>83</c:v>
                      </c:pt>
                      <c:pt idx="22">
                        <c:v>84.5</c:v>
                      </c:pt>
                      <c:pt idx="23">
                        <c:v>86</c:v>
                      </c:pt>
                      <c:pt idx="24">
                        <c:v>87.5</c:v>
                      </c:pt>
                      <c:pt idx="25">
                        <c:v>89</c:v>
                      </c:pt>
                      <c:pt idx="26">
                        <c:v>90.5</c:v>
                      </c:pt>
                      <c:pt idx="27">
                        <c:v>92</c:v>
                      </c:pt>
                      <c:pt idx="28">
                        <c:v>93.5</c:v>
                      </c:pt>
                      <c:pt idx="29">
                        <c:v>95</c:v>
                      </c:pt>
                      <c:pt idx="30">
                        <c:v>96.5</c:v>
                      </c:pt>
                      <c:pt idx="31">
                        <c:v>98</c:v>
                      </c:pt>
                      <c:pt idx="32">
                        <c:v>99.5</c:v>
                      </c:pt>
                      <c:pt idx="33">
                        <c:v>101</c:v>
                      </c:pt>
                      <c:pt idx="34">
                        <c:v>102.5</c:v>
                      </c:pt>
                      <c:pt idx="35">
                        <c:v>104</c:v>
                      </c:pt>
                      <c:pt idx="36">
                        <c:v>105.5</c:v>
                      </c:pt>
                      <c:pt idx="37">
                        <c:v>107</c:v>
                      </c:pt>
                      <c:pt idx="38">
                        <c:v>108.5</c:v>
                      </c:pt>
                      <c:pt idx="39">
                        <c:v>110</c:v>
                      </c:pt>
                      <c:pt idx="40">
                        <c:v>111.5</c:v>
                      </c:pt>
                      <c:pt idx="41">
                        <c:v>113</c:v>
                      </c:pt>
                      <c:pt idx="42">
                        <c:v>114.5</c:v>
                      </c:pt>
                      <c:pt idx="43">
                        <c:v>116</c:v>
                      </c:pt>
                      <c:pt idx="44">
                        <c:v>117.5</c:v>
                      </c:pt>
                      <c:pt idx="45">
                        <c:v>119</c:v>
                      </c:pt>
                      <c:pt idx="46">
                        <c:v>120.5</c:v>
                      </c:pt>
                      <c:pt idx="47">
                        <c:v>122</c:v>
                      </c:pt>
                      <c:pt idx="48">
                        <c:v>123.5</c:v>
                      </c:pt>
                      <c:pt idx="49">
                        <c:v>125</c:v>
                      </c:pt>
                      <c:pt idx="50">
                        <c:v>126.5</c:v>
                      </c:pt>
                      <c:pt idx="51">
                        <c:v>128</c:v>
                      </c:pt>
                      <c:pt idx="52">
                        <c:v>129.5</c:v>
                      </c:pt>
                      <c:pt idx="53">
                        <c:v>131</c:v>
                      </c:pt>
                      <c:pt idx="54">
                        <c:v>132.5</c:v>
                      </c:pt>
                      <c:pt idx="55">
                        <c:v>134</c:v>
                      </c:pt>
                      <c:pt idx="56">
                        <c:v>135.5</c:v>
                      </c:pt>
                      <c:pt idx="57">
                        <c:v>137</c:v>
                      </c:pt>
                      <c:pt idx="58">
                        <c:v>138.5</c:v>
                      </c:pt>
                      <c:pt idx="59">
                        <c:v>140</c:v>
                      </c:pt>
                      <c:pt idx="60">
                        <c:v>141.5</c:v>
                      </c:pt>
                      <c:pt idx="61">
                        <c:v>143</c:v>
                      </c:pt>
                      <c:pt idx="62">
                        <c:v>144.5</c:v>
                      </c:pt>
                      <c:pt idx="63">
                        <c:v>146</c:v>
                      </c:pt>
                      <c:pt idx="64">
                        <c:v>147.5</c:v>
                      </c:pt>
                      <c:pt idx="65">
                        <c:v>149</c:v>
                      </c:pt>
                      <c:pt idx="66">
                        <c:v>150.5</c:v>
                      </c:pt>
                      <c:pt idx="67">
                        <c:v>152</c:v>
                      </c:pt>
                      <c:pt idx="68">
                        <c:v>153.5</c:v>
                      </c:pt>
                      <c:pt idx="69">
                        <c:v>155</c:v>
                      </c:pt>
                      <c:pt idx="70">
                        <c:v>156.5</c:v>
                      </c:pt>
                      <c:pt idx="71">
                        <c:v>158</c:v>
                      </c:pt>
                      <c:pt idx="72">
                        <c:v>159.5</c:v>
                      </c:pt>
                      <c:pt idx="73">
                        <c:v>161</c:v>
                      </c:pt>
                      <c:pt idx="74">
                        <c:v>162.5</c:v>
                      </c:pt>
                      <c:pt idx="75">
                        <c:v>164</c:v>
                      </c:pt>
                      <c:pt idx="76">
                        <c:v>165.5</c:v>
                      </c:pt>
                      <c:pt idx="77">
                        <c:v>167</c:v>
                      </c:pt>
                      <c:pt idx="78">
                        <c:v>168.5</c:v>
                      </c:pt>
                      <c:pt idx="79">
                        <c:v>170</c:v>
                      </c:pt>
                      <c:pt idx="80">
                        <c:v>171.5</c:v>
                      </c:pt>
                      <c:pt idx="81">
                        <c:v>173</c:v>
                      </c:pt>
                      <c:pt idx="82">
                        <c:v>174.5</c:v>
                      </c:pt>
                      <c:pt idx="83">
                        <c:v>176</c:v>
                      </c:pt>
                      <c:pt idx="84">
                        <c:v>177.5</c:v>
                      </c:pt>
                      <c:pt idx="85">
                        <c:v>179</c:v>
                      </c:pt>
                      <c:pt idx="86">
                        <c:v>180.5</c:v>
                      </c:pt>
                      <c:pt idx="87">
                        <c:v>182</c:v>
                      </c:pt>
                      <c:pt idx="88">
                        <c:v>183.5</c:v>
                      </c:pt>
                      <c:pt idx="89">
                        <c:v>185</c:v>
                      </c:pt>
                      <c:pt idx="90">
                        <c:v>186.5</c:v>
                      </c:pt>
                      <c:pt idx="91">
                        <c:v>188</c:v>
                      </c:pt>
                      <c:pt idx="92">
                        <c:v>189.5</c:v>
                      </c:pt>
                      <c:pt idx="93">
                        <c:v>191</c:v>
                      </c:pt>
                      <c:pt idx="94">
                        <c:v>192.5</c:v>
                      </c:pt>
                      <c:pt idx="95">
                        <c:v>194</c:v>
                      </c:pt>
                      <c:pt idx="96">
                        <c:v>195.5</c:v>
                      </c:pt>
                      <c:pt idx="97">
                        <c:v>197</c:v>
                      </c:pt>
                      <c:pt idx="98">
                        <c:v>198.5</c:v>
                      </c:pt>
                      <c:pt idx="99">
                        <c:v>200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C5D-47ED-8AB2-2C9EC1FC84A1}"/>
                  </c:ext>
                </c:extLst>
              </c15:ser>
            </c15:filteredLineSeries>
          </c:ext>
        </c:extLst>
      </c:lineChart>
      <c:catAx>
        <c:axId val="735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425560"/>
        <c:crosses val="autoZero"/>
        <c:auto val="1"/>
        <c:lblAlgn val="ctr"/>
        <c:lblOffset val="100"/>
        <c:noMultiLvlLbl val="0"/>
      </c:catAx>
      <c:valAx>
        <c:axId val="73542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42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Spot-Greek2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Sheet1!$K$1</c:f>
              <c:strCache>
                <c:ptCount val="1"/>
                <c:pt idx="0">
                  <c:v>Greek2 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Sheet1!$I:$I</c15:sqref>
                  </c15:fullRef>
                </c:ext>
              </c:extLst>
              <c:f>Sheet1!$I$2:$I$1048576</c:f>
              <c:strCache>
                <c:ptCount val="101"/>
                <c:pt idx="0">
                  <c:v>50.00</c:v>
                </c:pt>
                <c:pt idx="1">
                  <c:v>51.50</c:v>
                </c:pt>
                <c:pt idx="2">
                  <c:v>53.00</c:v>
                </c:pt>
                <c:pt idx="3">
                  <c:v>54.50</c:v>
                </c:pt>
                <c:pt idx="4">
                  <c:v>56.00</c:v>
                </c:pt>
                <c:pt idx="5">
                  <c:v>57.50</c:v>
                </c:pt>
                <c:pt idx="6">
                  <c:v>59.00</c:v>
                </c:pt>
                <c:pt idx="7">
                  <c:v>60.50</c:v>
                </c:pt>
                <c:pt idx="8">
                  <c:v>62.00</c:v>
                </c:pt>
                <c:pt idx="9">
                  <c:v>63.50</c:v>
                </c:pt>
                <c:pt idx="10">
                  <c:v>65.00</c:v>
                </c:pt>
                <c:pt idx="11">
                  <c:v>66.50</c:v>
                </c:pt>
                <c:pt idx="12">
                  <c:v>68.00</c:v>
                </c:pt>
                <c:pt idx="13">
                  <c:v>69.50</c:v>
                </c:pt>
                <c:pt idx="14">
                  <c:v>71.00</c:v>
                </c:pt>
                <c:pt idx="15">
                  <c:v>72.50</c:v>
                </c:pt>
                <c:pt idx="16">
                  <c:v>74.00</c:v>
                </c:pt>
                <c:pt idx="17">
                  <c:v>75.50</c:v>
                </c:pt>
                <c:pt idx="18">
                  <c:v>77.00</c:v>
                </c:pt>
                <c:pt idx="19">
                  <c:v>78.50</c:v>
                </c:pt>
                <c:pt idx="20">
                  <c:v>80.00</c:v>
                </c:pt>
                <c:pt idx="21">
                  <c:v>81.50</c:v>
                </c:pt>
                <c:pt idx="22">
                  <c:v>83.00</c:v>
                </c:pt>
                <c:pt idx="23">
                  <c:v>84.50</c:v>
                </c:pt>
                <c:pt idx="24">
                  <c:v>86.00</c:v>
                </c:pt>
                <c:pt idx="25">
                  <c:v>87.50</c:v>
                </c:pt>
                <c:pt idx="26">
                  <c:v>89.00</c:v>
                </c:pt>
                <c:pt idx="27">
                  <c:v>90.50</c:v>
                </c:pt>
                <c:pt idx="28">
                  <c:v>92.00</c:v>
                </c:pt>
                <c:pt idx="29">
                  <c:v>93.50</c:v>
                </c:pt>
                <c:pt idx="30">
                  <c:v>95.00</c:v>
                </c:pt>
                <c:pt idx="31">
                  <c:v>96.50</c:v>
                </c:pt>
                <c:pt idx="32">
                  <c:v>98.00</c:v>
                </c:pt>
                <c:pt idx="33">
                  <c:v>99.50</c:v>
                </c:pt>
                <c:pt idx="34">
                  <c:v>101.00</c:v>
                </c:pt>
                <c:pt idx="35">
                  <c:v>102.50</c:v>
                </c:pt>
                <c:pt idx="36">
                  <c:v>104.00</c:v>
                </c:pt>
                <c:pt idx="37">
                  <c:v>105.50</c:v>
                </c:pt>
                <c:pt idx="38">
                  <c:v>107.00</c:v>
                </c:pt>
                <c:pt idx="39">
                  <c:v>108.50</c:v>
                </c:pt>
                <c:pt idx="40">
                  <c:v>110.00</c:v>
                </c:pt>
                <c:pt idx="41">
                  <c:v>111.50</c:v>
                </c:pt>
                <c:pt idx="42">
                  <c:v>113.00</c:v>
                </c:pt>
                <c:pt idx="43">
                  <c:v>114.50</c:v>
                </c:pt>
                <c:pt idx="44">
                  <c:v>116.00</c:v>
                </c:pt>
                <c:pt idx="45">
                  <c:v>117.50</c:v>
                </c:pt>
                <c:pt idx="46">
                  <c:v>119.00</c:v>
                </c:pt>
                <c:pt idx="47">
                  <c:v>120.50</c:v>
                </c:pt>
                <c:pt idx="48">
                  <c:v>122.00</c:v>
                </c:pt>
                <c:pt idx="49">
                  <c:v>123.50</c:v>
                </c:pt>
                <c:pt idx="50">
                  <c:v>125.00</c:v>
                </c:pt>
                <c:pt idx="51">
                  <c:v>126.50</c:v>
                </c:pt>
                <c:pt idx="52">
                  <c:v>128.00</c:v>
                </c:pt>
                <c:pt idx="53">
                  <c:v>129.50</c:v>
                </c:pt>
                <c:pt idx="54">
                  <c:v>131.00</c:v>
                </c:pt>
                <c:pt idx="55">
                  <c:v>132.50</c:v>
                </c:pt>
                <c:pt idx="56">
                  <c:v>134.00</c:v>
                </c:pt>
                <c:pt idx="57">
                  <c:v>135.50</c:v>
                </c:pt>
                <c:pt idx="58">
                  <c:v>137.00</c:v>
                </c:pt>
                <c:pt idx="59">
                  <c:v>138.50</c:v>
                </c:pt>
                <c:pt idx="60">
                  <c:v>140.00</c:v>
                </c:pt>
                <c:pt idx="61">
                  <c:v>141.50</c:v>
                </c:pt>
                <c:pt idx="62">
                  <c:v>143.00</c:v>
                </c:pt>
                <c:pt idx="63">
                  <c:v>144.50</c:v>
                </c:pt>
                <c:pt idx="64">
                  <c:v>146.00</c:v>
                </c:pt>
                <c:pt idx="65">
                  <c:v>147.50</c:v>
                </c:pt>
                <c:pt idx="66">
                  <c:v>149.00</c:v>
                </c:pt>
                <c:pt idx="67">
                  <c:v>150.50</c:v>
                </c:pt>
                <c:pt idx="68">
                  <c:v>152.00</c:v>
                </c:pt>
                <c:pt idx="69">
                  <c:v>153.50</c:v>
                </c:pt>
                <c:pt idx="70">
                  <c:v>155.00</c:v>
                </c:pt>
                <c:pt idx="71">
                  <c:v>156.50</c:v>
                </c:pt>
                <c:pt idx="72">
                  <c:v>158.00</c:v>
                </c:pt>
                <c:pt idx="73">
                  <c:v>159.50</c:v>
                </c:pt>
                <c:pt idx="74">
                  <c:v>161.00</c:v>
                </c:pt>
                <c:pt idx="75">
                  <c:v>162.50</c:v>
                </c:pt>
                <c:pt idx="76">
                  <c:v>164.00</c:v>
                </c:pt>
                <c:pt idx="77">
                  <c:v>165.50</c:v>
                </c:pt>
                <c:pt idx="78">
                  <c:v>167.00</c:v>
                </c:pt>
                <c:pt idx="79">
                  <c:v>168.50</c:v>
                </c:pt>
                <c:pt idx="80">
                  <c:v>170.00</c:v>
                </c:pt>
                <c:pt idx="81">
                  <c:v>171.50</c:v>
                </c:pt>
                <c:pt idx="82">
                  <c:v>173.00</c:v>
                </c:pt>
                <c:pt idx="83">
                  <c:v>174.50</c:v>
                </c:pt>
                <c:pt idx="84">
                  <c:v>176.00</c:v>
                </c:pt>
                <c:pt idx="85">
                  <c:v>177.50</c:v>
                </c:pt>
                <c:pt idx="86">
                  <c:v>179.00</c:v>
                </c:pt>
                <c:pt idx="87">
                  <c:v>180.50</c:v>
                </c:pt>
                <c:pt idx="88">
                  <c:v>182.00</c:v>
                </c:pt>
                <c:pt idx="89">
                  <c:v>183.50</c:v>
                </c:pt>
                <c:pt idx="90">
                  <c:v>185.00</c:v>
                </c:pt>
                <c:pt idx="91">
                  <c:v>186.50</c:v>
                </c:pt>
                <c:pt idx="92">
                  <c:v>188.00</c:v>
                </c:pt>
                <c:pt idx="93">
                  <c:v>189.50</c:v>
                </c:pt>
                <c:pt idx="94">
                  <c:v>191.00</c:v>
                </c:pt>
                <c:pt idx="95">
                  <c:v>192.50</c:v>
                </c:pt>
                <c:pt idx="96">
                  <c:v>194.00</c:v>
                </c:pt>
                <c:pt idx="97">
                  <c:v>195.50</c:v>
                </c:pt>
                <c:pt idx="98">
                  <c:v>197.00</c:v>
                </c:pt>
                <c:pt idx="99">
                  <c:v>198.50</c:v>
                </c:pt>
                <c:pt idx="100">
                  <c:v>200.00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Sheet1!$K$2:$K$102</c15:sqref>
                  </c15:fullRef>
                </c:ext>
              </c:extLst>
              <c:f>Sheet1!$K$3:$K$102</c:f>
              <c:numCache>
                <c:formatCode>General</c:formatCode>
                <c:ptCount val="100"/>
                <c:pt idx="0">
                  <c:v>-2.1525969924383247E-59</c:v>
                </c:pt>
                <c:pt idx="1">
                  <c:v>-2.333535447263488E-55</c:v>
                </c:pt>
                <c:pt idx="2">
                  <c:v>-1.4267074347376087E-51</c:v>
                </c:pt>
                <c:pt idx="3">
                  <c:v>-5.1177696708209781E-48</c:v>
                </c:pt>
                <c:pt idx="4">
                  <c:v>-1.116496635654059E-44</c:v>
                </c:pt>
                <c:pt idx="5">
                  <c:v>-1.5307138800763923E-41</c:v>
                </c:pt>
                <c:pt idx="6">
                  <c:v>-1.3589205221345578E-38</c:v>
                </c:pt>
                <c:pt idx="7">
                  <c:v>-8.029098618947079E-36</c:v>
                </c:pt>
                <c:pt idx="8">
                  <c:v>-3.2377384577896117E-33</c:v>
                </c:pt>
                <c:pt idx="9">
                  <c:v>-9.1194582542833888E-31</c:v>
                </c:pt>
                <c:pt idx="10">
                  <c:v>-1.8327669677774723E-28</c:v>
                </c:pt>
                <c:pt idx="11">
                  <c:v>-2.6804093204663659E-26</c:v>
                </c:pt>
                <c:pt idx="12">
                  <c:v>-2.9050256227253587E-24</c:v>
                </c:pt>
                <c:pt idx="13">
                  <c:v>-2.3728394993620127E-22</c:v>
                </c:pt>
                <c:pt idx="14">
                  <c:v>-1.4836792131845537E-20</c:v>
                </c:pt>
                <c:pt idx="15">
                  <c:v>-7.2055266378598928E-19</c:v>
                </c:pt>
                <c:pt idx="16">
                  <c:v>-2.754902653269488E-17</c:v>
                </c:pt>
                <c:pt idx="17">
                  <c:v>-8.3969312143526514E-16</c:v>
                </c:pt>
                <c:pt idx="18">
                  <c:v>-2.0644309118296728E-14</c:v>
                </c:pt>
                <c:pt idx="19">
                  <c:v>-4.1390497787867459E-13</c:v>
                </c:pt>
                <c:pt idx="20">
                  <c:v>-6.837037267749231E-12</c:v>
                </c:pt>
                <c:pt idx="21">
                  <c:v>-9.394316634806321E-11</c:v>
                </c:pt>
                <c:pt idx="22">
                  <c:v>-1.0834143457008899E-9</c:v>
                </c:pt>
                <c:pt idx="23">
                  <c:v>-1.0575921164355599E-8</c:v>
                </c:pt>
                <c:pt idx="24">
                  <c:v>-8.8079909464992745E-8</c:v>
                </c:pt>
                <c:pt idx="25">
                  <c:v>-6.3053211302597433E-7</c:v>
                </c:pt>
                <c:pt idx="26">
                  <c:v>-3.9071268756938399E-6</c:v>
                </c:pt>
                <c:pt idx="27">
                  <c:v>-2.1096096121368727E-5</c:v>
                </c:pt>
                <c:pt idx="28">
                  <c:v>-9.9874526442423088E-5</c:v>
                </c:pt>
                <c:pt idx="29">
                  <c:v>-4.1704328749393661E-4</c:v>
                </c:pt>
                <c:pt idx="30">
                  <c:v>-1.5445809278883877E-3</c:v>
                </c:pt>
                <c:pt idx="31">
                  <c:v>-5.100908235541368E-3</c:v>
                </c:pt>
                <c:pt idx="32">
                  <c:v>-1.5096679774374192E-2</c:v>
                </c:pt>
                <c:pt idx="33">
                  <c:v>-4.0234488667655811E-2</c:v>
                </c:pt>
                <c:pt idx="34">
                  <c:v>-9.7004456515976709E-2</c:v>
                </c:pt>
                <c:pt idx="35">
                  <c:v>-0.21250658886730237</c:v>
                </c:pt>
                <c:pt idx="36">
                  <c:v>-0.42479809033987043</c:v>
                </c:pt>
                <c:pt idx="37">
                  <c:v>-0.77805186297417139</c:v>
                </c:pt>
                <c:pt idx="38">
                  <c:v>-1.310984720791041</c:v>
                </c:pt>
                <c:pt idx="39">
                  <c:v>-2.0402249140279372</c:v>
                </c:pt>
                <c:pt idx="40">
                  <c:v>-2.9443166486023991</c:v>
                </c:pt>
                <c:pt idx="41">
                  <c:v>-3.95631873530469</c:v>
                </c:pt>
                <c:pt idx="42">
                  <c:v>-4.9711332294765134</c:v>
                </c:pt>
                <c:pt idx="43">
                  <c:v>-5.8677753567969191</c:v>
                </c:pt>
                <c:pt idx="44">
                  <c:v>-6.5396431826308179</c:v>
                </c:pt>
                <c:pt idx="45">
                  <c:v>-6.9215896855826173</c:v>
                </c:pt>
                <c:pt idx="46">
                  <c:v>-7.0038143616238147</c:v>
                </c:pt>
                <c:pt idx="47">
                  <c:v>-6.8285360795288357</c:v>
                </c:pt>
                <c:pt idx="48">
                  <c:v>-6.4726524288113625</c:v>
                </c:pt>
                <c:pt idx="49">
                  <c:v>-6.0243873031418707</c:v>
                </c:pt>
                <c:pt idx="50">
                  <c:v>-5.5624572834392989</c:v>
                </c:pt>
                <c:pt idx="51">
                  <c:v>-5.1432796740079416</c:v>
                </c:pt>
                <c:pt idx="52">
                  <c:v>-4.7974583199654557</c:v>
                </c:pt>
                <c:pt idx="53">
                  <c:v>-4.5333983238795748</c:v>
                </c:pt>
                <c:pt idx="54">
                  <c:v>-4.3444664228105614</c:v>
                </c:pt>
                <c:pt idx="55">
                  <c:v>-4.21645341171764</c:v>
                </c:pt>
                <c:pt idx="56">
                  <c:v>-4.1333651277665728</c:v>
                </c:pt>
                <c:pt idx="57">
                  <c:v>-4.0809112029066847</c:v>
                </c:pt>
                <c:pt idx="58">
                  <c:v>-4.0479767153900879</c:v>
                </c:pt>
                <c:pt idx="59">
                  <c:v>-4.0267482933874588</c:v>
                </c:pt>
                <c:pt idx="60">
                  <c:v>-4.0121630880834687</c:v>
                </c:pt>
                <c:pt idx="61">
                  <c:v>-4.0011604848281763</c:v>
                </c:pt>
                <c:pt idx="62">
                  <c:v>-3.9920001798566846</c:v>
                </c:pt>
                <c:pt idx="63">
                  <c:v>-3.9837458420718348</c:v>
                </c:pt>
                <c:pt idx="64">
                  <c:v>-3.9759186064471983</c:v>
                </c:pt>
                <c:pt idx="65">
                  <c:v>-3.9682848177085956</c:v>
                </c:pt>
                <c:pt idx="66">
                  <c:v>-3.9607353709380599</c:v>
                </c:pt>
                <c:pt idx="67">
                  <c:v>-3.9532213840401726</c:v>
                </c:pt>
                <c:pt idx="68">
                  <c:v>-3.9457217962191362</c:v>
                </c:pt>
                <c:pt idx="69">
                  <c:v>-3.9382278639254991</c:v>
                </c:pt>
                <c:pt idx="70">
                  <c:v>-3.9307360831371181</c:v>
                </c:pt>
                <c:pt idx="71">
                  <c:v>-3.923245096113773</c:v>
                </c:pt>
                <c:pt idx="72">
                  <c:v>-3.9157543934291423</c:v>
                </c:pt>
                <c:pt idx="73">
                  <c:v>-3.908263789749657</c:v>
                </c:pt>
                <c:pt idx="74">
                  <c:v>-3.9007732196140292</c:v>
                </c:pt>
                <c:pt idx="75">
                  <c:v>-3.8932826605480253</c:v>
                </c:pt>
                <c:pt idx="76">
                  <c:v>-3.8857921050434632</c:v>
                </c:pt>
                <c:pt idx="77">
                  <c:v>-3.8783015506570018</c:v>
                </c:pt>
                <c:pt idx="78">
                  <c:v>-3.8708109966133617</c:v>
                </c:pt>
                <c:pt idx="79">
                  <c:v>-3.8633204426724617</c:v>
                </c:pt>
                <c:pt idx="80">
                  <c:v>-3.8558298887616798</c:v>
                </c:pt>
                <c:pt idx="81">
                  <c:v>-3.8483393348595412</c:v>
                </c:pt>
                <c:pt idx="82">
                  <c:v>-3.8408487809598322</c:v>
                </c:pt>
                <c:pt idx="83">
                  <c:v>-3.8333582270607929</c:v>
                </c:pt>
                <c:pt idx="84">
                  <c:v>-3.8258676731619348</c:v>
                </c:pt>
                <c:pt idx="85">
                  <c:v>-3.8183771192631242</c:v>
                </c:pt>
                <c:pt idx="86">
                  <c:v>-3.8108865653643269</c:v>
                </c:pt>
                <c:pt idx="87">
                  <c:v>-3.8033960114655323</c:v>
                </c:pt>
                <c:pt idx="88">
                  <c:v>-3.7959054575667381</c:v>
                </c:pt>
                <c:pt idx="89">
                  <c:v>-3.7884149036679449</c:v>
                </c:pt>
                <c:pt idx="90">
                  <c:v>-3.7809243497691511</c:v>
                </c:pt>
                <c:pt idx="91">
                  <c:v>-3.7734337958703579</c:v>
                </c:pt>
                <c:pt idx="92">
                  <c:v>-3.7659432419715642</c:v>
                </c:pt>
                <c:pt idx="93">
                  <c:v>-3.7584526880727709</c:v>
                </c:pt>
                <c:pt idx="94">
                  <c:v>-3.7509621341739772</c:v>
                </c:pt>
                <c:pt idx="95">
                  <c:v>-3.7434715802751839</c:v>
                </c:pt>
                <c:pt idx="96">
                  <c:v>-3.7359810263763902</c:v>
                </c:pt>
                <c:pt idx="97">
                  <c:v>-3.7284904724775969</c:v>
                </c:pt>
                <c:pt idx="98">
                  <c:v>-3.7209999185788032</c:v>
                </c:pt>
                <c:pt idx="99">
                  <c:v>-3.7135093646800099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4-4FBF-BFA2-EC063C1C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424904"/>
        <c:axId val="7354258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Sheet1!$I$1</c15:sqref>
                        </c15:formulaRef>
                      </c:ext>
                    </c:extLst>
                    <c:strCache>
                      <c:ptCount val="1"/>
                      <c:pt idx="0">
                        <c:v>Spot Value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Sheet1!$I:$I</c15:sqref>
                        </c15:fullRef>
                        <c15:formulaRef>
                          <c15:sqref>Sheet1!$I$2:$I$1048576</c15:sqref>
                        </c15:formulaRef>
                      </c:ext>
                    </c:extLst>
                    <c:strCache>
                      <c:ptCount val="101"/>
                      <c:pt idx="0">
                        <c:v>50.00</c:v>
                      </c:pt>
                      <c:pt idx="1">
                        <c:v>51.50</c:v>
                      </c:pt>
                      <c:pt idx="2">
                        <c:v>53.00</c:v>
                      </c:pt>
                      <c:pt idx="3">
                        <c:v>54.50</c:v>
                      </c:pt>
                      <c:pt idx="4">
                        <c:v>56.00</c:v>
                      </c:pt>
                      <c:pt idx="5">
                        <c:v>57.50</c:v>
                      </c:pt>
                      <c:pt idx="6">
                        <c:v>59.00</c:v>
                      </c:pt>
                      <c:pt idx="7">
                        <c:v>60.50</c:v>
                      </c:pt>
                      <c:pt idx="8">
                        <c:v>62.00</c:v>
                      </c:pt>
                      <c:pt idx="9">
                        <c:v>63.50</c:v>
                      </c:pt>
                      <c:pt idx="10">
                        <c:v>65.00</c:v>
                      </c:pt>
                      <c:pt idx="11">
                        <c:v>66.50</c:v>
                      </c:pt>
                      <c:pt idx="12">
                        <c:v>68.00</c:v>
                      </c:pt>
                      <c:pt idx="13">
                        <c:v>69.50</c:v>
                      </c:pt>
                      <c:pt idx="14">
                        <c:v>71.00</c:v>
                      </c:pt>
                      <c:pt idx="15">
                        <c:v>72.50</c:v>
                      </c:pt>
                      <c:pt idx="16">
                        <c:v>74.00</c:v>
                      </c:pt>
                      <c:pt idx="17">
                        <c:v>75.50</c:v>
                      </c:pt>
                      <c:pt idx="18">
                        <c:v>77.00</c:v>
                      </c:pt>
                      <c:pt idx="19">
                        <c:v>78.50</c:v>
                      </c:pt>
                      <c:pt idx="20">
                        <c:v>80.00</c:v>
                      </c:pt>
                      <c:pt idx="21">
                        <c:v>81.50</c:v>
                      </c:pt>
                      <c:pt idx="22">
                        <c:v>83.00</c:v>
                      </c:pt>
                      <c:pt idx="23">
                        <c:v>84.50</c:v>
                      </c:pt>
                      <c:pt idx="24">
                        <c:v>86.00</c:v>
                      </c:pt>
                      <c:pt idx="25">
                        <c:v>87.50</c:v>
                      </c:pt>
                      <c:pt idx="26">
                        <c:v>89.00</c:v>
                      </c:pt>
                      <c:pt idx="27">
                        <c:v>90.50</c:v>
                      </c:pt>
                      <c:pt idx="28">
                        <c:v>92.00</c:v>
                      </c:pt>
                      <c:pt idx="29">
                        <c:v>93.50</c:v>
                      </c:pt>
                      <c:pt idx="30">
                        <c:v>95.00</c:v>
                      </c:pt>
                      <c:pt idx="31">
                        <c:v>96.50</c:v>
                      </c:pt>
                      <c:pt idx="32">
                        <c:v>98.00</c:v>
                      </c:pt>
                      <c:pt idx="33">
                        <c:v>99.50</c:v>
                      </c:pt>
                      <c:pt idx="34">
                        <c:v>101.00</c:v>
                      </c:pt>
                      <c:pt idx="35">
                        <c:v>102.50</c:v>
                      </c:pt>
                      <c:pt idx="36">
                        <c:v>104.00</c:v>
                      </c:pt>
                      <c:pt idx="37">
                        <c:v>105.50</c:v>
                      </c:pt>
                      <c:pt idx="38">
                        <c:v>107.00</c:v>
                      </c:pt>
                      <c:pt idx="39">
                        <c:v>108.50</c:v>
                      </c:pt>
                      <c:pt idx="40">
                        <c:v>110.00</c:v>
                      </c:pt>
                      <c:pt idx="41">
                        <c:v>111.50</c:v>
                      </c:pt>
                      <c:pt idx="42">
                        <c:v>113.00</c:v>
                      </c:pt>
                      <c:pt idx="43">
                        <c:v>114.50</c:v>
                      </c:pt>
                      <c:pt idx="44">
                        <c:v>116.00</c:v>
                      </c:pt>
                      <c:pt idx="45">
                        <c:v>117.50</c:v>
                      </c:pt>
                      <c:pt idx="46">
                        <c:v>119.00</c:v>
                      </c:pt>
                      <c:pt idx="47">
                        <c:v>120.50</c:v>
                      </c:pt>
                      <c:pt idx="48">
                        <c:v>122.00</c:v>
                      </c:pt>
                      <c:pt idx="49">
                        <c:v>123.50</c:v>
                      </c:pt>
                      <c:pt idx="50">
                        <c:v>125.00</c:v>
                      </c:pt>
                      <c:pt idx="51">
                        <c:v>126.50</c:v>
                      </c:pt>
                      <c:pt idx="52">
                        <c:v>128.00</c:v>
                      </c:pt>
                      <c:pt idx="53">
                        <c:v>129.50</c:v>
                      </c:pt>
                      <c:pt idx="54">
                        <c:v>131.00</c:v>
                      </c:pt>
                      <c:pt idx="55">
                        <c:v>132.50</c:v>
                      </c:pt>
                      <c:pt idx="56">
                        <c:v>134.00</c:v>
                      </c:pt>
                      <c:pt idx="57">
                        <c:v>135.50</c:v>
                      </c:pt>
                      <c:pt idx="58">
                        <c:v>137.00</c:v>
                      </c:pt>
                      <c:pt idx="59">
                        <c:v>138.50</c:v>
                      </c:pt>
                      <c:pt idx="60">
                        <c:v>140.00</c:v>
                      </c:pt>
                      <c:pt idx="61">
                        <c:v>141.50</c:v>
                      </c:pt>
                      <c:pt idx="62">
                        <c:v>143.00</c:v>
                      </c:pt>
                      <c:pt idx="63">
                        <c:v>144.50</c:v>
                      </c:pt>
                      <c:pt idx="64">
                        <c:v>146.00</c:v>
                      </c:pt>
                      <c:pt idx="65">
                        <c:v>147.50</c:v>
                      </c:pt>
                      <c:pt idx="66">
                        <c:v>149.00</c:v>
                      </c:pt>
                      <c:pt idx="67">
                        <c:v>150.50</c:v>
                      </c:pt>
                      <c:pt idx="68">
                        <c:v>152.00</c:v>
                      </c:pt>
                      <c:pt idx="69">
                        <c:v>153.50</c:v>
                      </c:pt>
                      <c:pt idx="70">
                        <c:v>155.00</c:v>
                      </c:pt>
                      <c:pt idx="71">
                        <c:v>156.50</c:v>
                      </c:pt>
                      <c:pt idx="72">
                        <c:v>158.00</c:v>
                      </c:pt>
                      <c:pt idx="73">
                        <c:v>159.50</c:v>
                      </c:pt>
                      <c:pt idx="74">
                        <c:v>161.00</c:v>
                      </c:pt>
                      <c:pt idx="75">
                        <c:v>162.50</c:v>
                      </c:pt>
                      <c:pt idx="76">
                        <c:v>164.00</c:v>
                      </c:pt>
                      <c:pt idx="77">
                        <c:v>165.50</c:v>
                      </c:pt>
                      <c:pt idx="78">
                        <c:v>167.00</c:v>
                      </c:pt>
                      <c:pt idx="79">
                        <c:v>168.50</c:v>
                      </c:pt>
                      <c:pt idx="80">
                        <c:v>170.00</c:v>
                      </c:pt>
                      <c:pt idx="81">
                        <c:v>171.50</c:v>
                      </c:pt>
                      <c:pt idx="82">
                        <c:v>173.00</c:v>
                      </c:pt>
                      <c:pt idx="83">
                        <c:v>174.50</c:v>
                      </c:pt>
                      <c:pt idx="84">
                        <c:v>176.00</c:v>
                      </c:pt>
                      <c:pt idx="85">
                        <c:v>177.50</c:v>
                      </c:pt>
                      <c:pt idx="86">
                        <c:v>179.00</c:v>
                      </c:pt>
                      <c:pt idx="87">
                        <c:v>180.50</c:v>
                      </c:pt>
                      <c:pt idx="88">
                        <c:v>182.00</c:v>
                      </c:pt>
                      <c:pt idx="89">
                        <c:v>183.50</c:v>
                      </c:pt>
                      <c:pt idx="90">
                        <c:v>185.00</c:v>
                      </c:pt>
                      <c:pt idx="91">
                        <c:v>186.50</c:v>
                      </c:pt>
                      <c:pt idx="92">
                        <c:v>188.00</c:v>
                      </c:pt>
                      <c:pt idx="93">
                        <c:v>189.50</c:v>
                      </c:pt>
                      <c:pt idx="94">
                        <c:v>191.00</c:v>
                      </c:pt>
                      <c:pt idx="95">
                        <c:v>192.50</c:v>
                      </c:pt>
                      <c:pt idx="96">
                        <c:v>194.00</c:v>
                      </c:pt>
                      <c:pt idx="97">
                        <c:v>195.50</c:v>
                      </c:pt>
                      <c:pt idx="98">
                        <c:v>197.00</c:v>
                      </c:pt>
                      <c:pt idx="99">
                        <c:v>198.50</c:v>
                      </c:pt>
                      <c:pt idx="100">
                        <c:v>200.00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Sheet1!$I$2:$I$102</c15:sqref>
                        </c15:fullRef>
                        <c15:formulaRef>
                          <c15:sqref>Sheet1!$I$3:$I$102</c15:sqref>
                        </c15:formulaRef>
                      </c:ext>
                    </c:extLst>
                    <c:numCache>
                      <c:formatCode>0.00</c:formatCode>
                      <c:ptCount val="100"/>
                      <c:pt idx="0">
                        <c:v>51.5</c:v>
                      </c:pt>
                      <c:pt idx="1">
                        <c:v>53</c:v>
                      </c:pt>
                      <c:pt idx="2">
                        <c:v>54.5</c:v>
                      </c:pt>
                      <c:pt idx="3">
                        <c:v>56</c:v>
                      </c:pt>
                      <c:pt idx="4">
                        <c:v>57.5</c:v>
                      </c:pt>
                      <c:pt idx="5">
                        <c:v>59</c:v>
                      </c:pt>
                      <c:pt idx="6">
                        <c:v>60.5</c:v>
                      </c:pt>
                      <c:pt idx="7">
                        <c:v>62</c:v>
                      </c:pt>
                      <c:pt idx="8">
                        <c:v>63.5</c:v>
                      </c:pt>
                      <c:pt idx="9">
                        <c:v>65</c:v>
                      </c:pt>
                      <c:pt idx="10">
                        <c:v>66.5</c:v>
                      </c:pt>
                      <c:pt idx="11">
                        <c:v>68</c:v>
                      </c:pt>
                      <c:pt idx="12">
                        <c:v>69.5</c:v>
                      </c:pt>
                      <c:pt idx="13">
                        <c:v>71</c:v>
                      </c:pt>
                      <c:pt idx="14">
                        <c:v>72.5</c:v>
                      </c:pt>
                      <c:pt idx="15">
                        <c:v>74</c:v>
                      </c:pt>
                      <c:pt idx="16">
                        <c:v>75.5</c:v>
                      </c:pt>
                      <c:pt idx="17">
                        <c:v>77</c:v>
                      </c:pt>
                      <c:pt idx="18">
                        <c:v>78.5</c:v>
                      </c:pt>
                      <c:pt idx="19">
                        <c:v>80</c:v>
                      </c:pt>
                      <c:pt idx="20">
                        <c:v>81.5</c:v>
                      </c:pt>
                      <c:pt idx="21">
                        <c:v>83</c:v>
                      </c:pt>
                      <c:pt idx="22">
                        <c:v>84.5</c:v>
                      </c:pt>
                      <c:pt idx="23">
                        <c:v>86</c:v>
                      </c:pt>
                      <c:pt idx="24">
                        <c:v>87.5</c:v>
                      </c:pt>
                      <c:pt idx="25">
                        <c:v>89</c:v>
                      </c:pt>
                      <c:pt idx="26">
                        <c:v>90.5</c:v>
                      </c:pt>
                      <c:pt idx="27">
                        <c:v>92</c:v>
                      </c:pt>
                      <c:pt idx="28">
                        <c:v>93.5</c:v>
                      </c:pt>
                      <c:pt idx="29">
                        <c:v>95</c:v>
                      </c:pt>
                      <c:pt idx="30">
                        <c:v>96.5</c:v>
                      </c:pt>
                      <c:pt idx="31">
                        <c:v>98</c:v>
                      </c:pt>
                      <c:pt idx="32">
                        <c:v>99.5</c:v>
                      </c:pt>
                      <c:pt idx="33">
                        <c:v>101</c:v>
                      </c:pt>
                      <c:pt idx="34">
                        <c:v>102.5</c:v>
                      </c:pt>
                      <c:pt idx="35">
                        <c:v>104</c:v>
                      </c:pt>
                      <c:pt idx="36">
                        <c:v>105.5</c:v>
                      </c:pt>
                      <c:pt idx="37">
                        <c:v>107</c:v>
                      </c:pt>
                      <c:pt idx="38">
                        <c:v>108.5</c:v>
                      </c:pt>
                      <c:pt idx="39">
                        <c:v>110</c:v>
                      </c:pt>
                      <c:pt idx="40">
                        <c:v>111.5</c:v>
                      </c:pt>
                      <c:pt idx="41">
                        <c:v>113</c:v>
                      </c:pt>
                      <c:pt idx="42">
                        <c:v>114.5</c:v>
                      </c:pt>
                      <c:pt idx="43">
                        <c:v>116</c:v>
                      </c:pt>
                      <c:pt idx="44">
                        <c:v>117.5</c:v>
                      </c:pt>
                      <c:pt idx="45">
                        <c:v>119</c:v>
                      </c:pt>
                      <c:pt idx="46">
                        <c:v>120.5</c:v>
                      </c:pt>
                      <c:pt idx="47">
                        <c:v>122</c:v>
                      </c:pt>
                      <c:pt idx="48">
                        <c:v>123.5</c:v>
                      </c:pt>
                      <c:pt idx="49">
                        <c:v>125</c:v>
                      </c:pt>
                      <c:pt idx="50">
                        <c:v>126.5</c:v>
                      </c:pt>
                      <c:pt idx="51">
                        <c:v>128</c:v>
                      </c:pt>
                      <c:pt idx="52">
                        <c:v>129.5</c:v>
                      </c:pt>
                      <c:pt idx="53">
                        <c:v>131</c:v>
                      </c:pt>
                      <c:pt idx="54">
                        <c:v>132.5</c:v>
                      </c:pt>
                      <c:pt idx="55">
                        <c:v>134</c:v>
                      </c:pt>
                      <c:pt idx="56">
                        <c:v>135.5</c:v>
                      </c:pt>
                      <c:pt idx="57">
                        <c:v>137</c:v>
                      </c:pt>
                      <c:pt idx="58">
                        <c:v>138.5</c:v>
                      </c:pt>
                      <c:pt idx="59">
                        <c:v>140</c:v>
                      </c:pt>
                      <c:pt idx="60">
                        <c:v>141.5</c:v>
                      </c:pt>
                      <c:pt idx="61">
                        <c:v>143</c:v>
                      </c:pt>
                      <c:pt idx="62">
                        <c:v>144.5</c:v>
                      </c:pt>
                      <c:pt idx="63">
                        <c:v>146</c:v>
                      </c:pt>
                      <c:pt idx="64">
                        <c:v>147.5</c:v>
                      </c:pt>
                      <c:pt idx="65">
                        <c:v>149</c:v>
                      </c:pt>
                      <c:pt idx="66">
                        <c:v>150.5</c:v>
                      </c:pt>
                      <c:pt idx="67">
                        <c:v>152</c:v>
                      </c:pt>
                      <c:pt idx="68">
                        <c:v>153.5</c:v>
                      </c:pt>
                      <c:pt idx="69">
                        <c:v>155</c:v>
                      </c:pt>
                      <c:pt idx="70">
                        <c:v>156.5</c:v>
                      </c:pt>
                      <c:pt idx="71">
                        <c:v>158</c:v>
                      </c:pt>
                      <c:pt idx="72">
                        <c:v>159.5</c:v>
                      </c:pt>
                      <c:pt idx="73">
                        <c:v>161</c:v>
                      </c:pt>
                      <c:pt idx="74">
                        <c:v>162.5</c:v>
                      </c:pt>
                      <c:pt idx="75">
                        <c:v>164</c:v>
                      </c:pt>
                      <c:pt idx="76">
                        <c:v>165.5</c:v>
                      </c:pt>
                      <c:pt idx="77">
                        <c:v>167</c:v>
                      </c:pt>
                      <c:pt idx="78">
                        <c:v>168.5</c:v>
                      </c:pt>
                      <c:pt idx="79">
                        <c:v>170</c:v>
                      </c:pt>
                      <c:pt idx="80">
                        <c:v>171.5</c:v>
                      </c:pt>
                      <c:pt idx="81">
                        <c:v>173</c:v>
                      </c:pt>
                      <c:pt idx="82">
                        <c:v>174.5</c:v>
                      </c:pt>
                      <c:pt idx="83">
                        <c:v>176</c:v>
                      </c:pt>
                      <c:pt idx="84">
                        <c:v>177.5</c:v>
                      </c:pt>
                      <c:pt idx="85">
                        <c:v>179</c:v>
                      </c:pt>
                      <c:pt idx="86">
                        <c:v>180.5</c:v>
                      </c:pt>
                      <c:pt idx="87">
                        <c:v>182</c:v>
                      </c:pt>
                      <c:pt idx="88">
                        <c:v>183.5</c:v>
                      </c:pt>
                      <c:pt idx="89">
                        <c:v>185</c:v>
                      </c:pt>
                      <c:pt idx="90">
                        <c:v>186.5</c:v>
                      </c:pt>
                      <c:pt idx="91">
                        <c:v>188</c:v>
                      </c:pt>
                      <c:pt idx="92">
                        <c:v>189.5</c:v>
                      </c:pt>
                      <c:pt idx="93">
                        <c:v>191</c:v>
                      </c:pt>
                      <c:pt idx="94">
                        <c:v>192.5</c:v>
                      </c:pt>
                      <c:pt idx="95">
                        <c:v>194</c:v>
                      </c:pt>
                      <c:pt idx="96">
                        <c:v>195.5</c:v>
                      </c:pt>
                      <c:pt idx="97">
                        <c:v>197</c:v>
                      </c:pt>
                      <c:pt idx="98">
                        <c:v>198.5</c:v>
                      </c:pt>
                      <c:pt idx="99">
                        <c:v>200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564-4FBF-BFA2-EC063C1C189E}"/>
                  </c:ext>
                </c:extLst>
              </c15:ser>
            </c15:filteredLineSeries>
          </c:ext>
        </c:extLst>
      </c:lineChart>
      <c:catAx>
        <c:axId val="73542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425888"/>
        <c:crosses val="autoZero"/>
        <c:auto val="1"/>
        <c:lblAlgn val="ctr"/>
        <c:lblOffset val="100"/>
        <c:noMultiLvlLbl val="0"/>
      </c:catAx>
      <c:valAx>
        <c:axId val="73542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42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Sheet1!$J$1</c:f>
              <c:strCache>
                <c:ptCount val="1"/>
                <c:pt idx="0">
                  <c:v>Greek1 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Sheet1!$I:$I</c15:sqref>
                  </c15:fullRef>
                </c:ext>
              </c:extLst>
              <c:f>Sheet1!$I$2:$I$1048576</c:f>
              <c:strCache>
                <c:ptCount val="101"/>
                <c:pt idx="0">
                  <c:v>50.00</c:v>
                </c:pt>
                <c:pt idx="1">
                  <c:v>51.50</c:v>
                </c:pt>
                <c:pt idx="2">
                  <c:v>53.00</c:v>
                </c:pt>
                <c:pt idx="3">
                  <c:v>54.50</c:v>
                </c:pt>
                <c:pt idx="4">
                  <c:v>56.00</c:v>
                </c:pt>
                <c:pt idx="5">
                  <c:v>57.50</c:v>
                </c:pt>
                <c:pt idx="6">
                  <c:v>59.00</c:v>
                </c:pt>
                <c:pt idx="7">
                  <c:v>60.50</c:v>
                </c:pt>
                <c:pt idx="8">
                  <c:v>62.00</c:v>
                </c:pt>
                <c:pt idx="9">
                  <c:v>63.50</c:v>
                </c:pt>
                <c:pt idx="10">
                  <c:v>65.00</c:v>
                </c:pt>
                <c:pt idx="11">
                  <c:v>66.50</c:v>
                </c:pt>
                <c:pt idx="12">
                  <c:v>68.00</c:v>
                </c:pt>
                <c:pt idx="13">
                  <c:v>69.50</c:v>
                </c:pt>
                <c:pt idx="14">
                  <c:v>71.00</c:v>
                </c:pt>
                <c:pt idx="15">
                  <c:v>72.50</c:v>
                </c:pt>
                <c:pt idx="16">
                  <c:v>74.00</c:v>
                </c:pt>
                <c:pt idx="17">
                  <c:v>75.50</c:v>
                </c:pt>
                <c:pt idx="18">
                  <c:v>77.00</c:v>
                </c:pt>
                <c:pt idx="19">
                  <c:v>78.50</c:v>
                </c:pt>
                <c:pt idx="20">
                  <c:v>80.00</c:v>
                </c:pt>
                <c:pt idx="21">
                  <c:v>81.50</c:v>
                </c:pt>
                <c:pt idx="22">
                  <c:v>83.00</c:v>
                </c:pt>
                <c:pt idx="23">
                  <c:v>84.50</c:v>
                </c:pt>
                <c:pt idx="24">
                  <c:v>86.00</c:v>
                </c:pt>
                <c:pt idx="25">
                  <c:v>87.50</c:v>
                </c:pt>
                <c:pt idx="26">
                  <c:v>89.00</c:v>
                </c:pt>
                <c:pt idx="27">
                  <c:v>90.50</c:v>
                </c:pt>
                <c:pt idx="28">
                  <c:v>92.00</c:v>
                </c:pt>
                <c:pt idx="29">
                  <c:v>93.50</c:v>
                </c:pt>
                <c:pt idx="30">
                  <c:v>95.00</c:v>
                </c:pt>
                <c:pt idx="31">
                  <c:v>96.50</c:v>
                </c:pt>
                <c:pt idx="32">
                  <c:v>98.00</c:v>
                </c:pt>
                <c:pt idx="33">
                  <c:v>99.50</c:v>
                </c:pt>
                <c:pt idx="34">
                  <c:v>101.00</c:v>
                </c:pt>
                <c:pt idx="35">
                  <c:v>102.50</c:v>
                </c:pt>
                <c:pt idx="36">
                  <c:v>104.00</c:v>
                </c:pt>
                <c:pt idx="37">
                  <c:v>105.50</c:v>
                </c:pt>
                <c:pt idx="38">
                  <c:v>107.00</c:v>
                </c:pt>
                <c:pt idx="39">
                  <c:v>108.50</c:v>
                </c:pt>
                <c:pt idx="40">
                  <c:v>110.00</c:v>
                </c:pt>
                <c:pt idx="41">
                  <c:v>111.50</c:v>
                </c:pt>
                <c:pt idx="42">
                  <c:v>113.00</c:v>
                </c:pt>
                <c:pt idx="43">
                  <c:v>114.50</c:v>
                </c:pt>
                <c:pt idx="44">
                  <c:v>116.00</c:v>
                </c:pt>
                <c:pt idx="45">
                  <c:v>117.50</c:v>
                </c:pt>
                <c:pt idx="46">
                  <c:v>119.00</c:v>
                </c:pt>
                <c:pt idx="47">
                  <c:v>120.50</c:v>
                </c:pt>
                <c:pt idx="48">
                  <c:v>122.00</c:v>
                </c:pt>
                <c:pt idx="49">
                  <c:v>123.50</c:v>
                </c:pt>
                <c:pt idx="50">
                  <c:v>125.00</c:v>
                </c:pt>
                <c:pt idx="51">
                  <c:v>126.50</c:v>
                </c:pt>
                <c:pt idx="52">
                  <c:v>128.00</c:v>
                </c:pt>
                <c:pt idx="53">
                  <c:v>129.50</c:v>
                </c:pt>
                <c:pt idx="54">
                  <c:v>131.00</c:v>
                </c:pt>
                <c:pt idx="55">
                  <c:v>132.50</c:v>
                </c:pt>
                <c:pt idx="56">
                  <c:v>134.00</c:v>
                </c:pt>
                <c:pt idx="57">
                  <c:v>135.50</c:v>
                </c:pt>
                <c:pt idx="58">
                  <c:v>137.00</c:v>
                </c:pt>
                <c:pt idx="59">
                  <c:v>138.50</c:v>
                </c:pt>
                <c:pt idx="60">
                  <c:v>140.00</c:v>
                </c:pt>
                <c:pt idx="61">
                  <c:v>141.50</c:v>
                </c:pt>
                <c:pt idx="62">
                  <c:v>143.00</c:v>
                </c:pt>
                <c:pt idx="63">
                  <c:v>144.50</c:v>
                </c:pt>
                <c:pt idx="64">
                  <c:v>146.00</c:v>
                </c:pt>
                <c:pt idx="65">
                  <c:v>147.50</c:v>
                </c:pt>
                <c:pt idx="66">
                  <c:v>149.00</c:v>
                </c:pt>
                <c:pt idx="67">
                  <c:v>150.50</c:v>
                </c:pt>
                <c:pt idx="68">
                  <c:v>152.00</c:v>
                </c:pt>
                <c:pt idx="69">
                  <c:v>153.50</c:v>
                </c:pt>
                <c:pt idx="70">
                  <c:v>155.00</c:v>
                </c:pt>
                <c:pt idx="71">
                  <c:v>156.50</c:v>
                </c:pt>
                <c:pt idx="72">
                  <c:v>158.00</c:v>
                </c:pt>
                <c:pt idx="73">
                  <c:v>159.50</c:v>
                </c:pt>
                <c:pt idx="74">
                  <c:v>161.00</c:v>
                </c:pt>
                <c:pt idx="75">
                  <c:v>162.50</c:v>
                </c:pt>
                <c:pt idx="76">
                  <c:v>164.00</c:v>
                </c:pt>
                <c:pt idx="77">
                  <c:v>165.50</c:v>
                </c:pt>
                <c:pt idx="78">
                  <c:v>167.00</c:v>
                </c:pt>
                <c:pt idx="79">
                  <c:v>168.50</c:v>
                </c:pt>
                <c:pt idx="80">
                  <c:v>170.00</c:v>
                </c:pt>
                <c:pt idx="81">
                  <c:v>171.50</c:v>
                </c:pt>
                <c:pt idx="82">
                  <c:v>173.00</c:v>
                </c:pt>
                <c:pt idx="83">
                  <c:v>174.50</c:v>
                </c:pt>
                <c:pt idx="84">
                  <c:v>176.00</c:v>
                </c:pt>
                <c:pt idx="85">
                  <c:v>177.50</c:v>
                </c:pt>
                <c:pt idx="86">
                  <c:v>179.00</c:v>
                </c:pt>
                <c:pt idx="87">
                  <c:v>180.50</c:v>
                </c:pt>
                <c:pt idx="88">
                  <c:v>182.00</c:v>
                </c:pt>
                <c:pt idx="89">
                  <c:v>183.50</c:v>
                </c:pt>
                <c:pt idx="90">
                  <c:v>185.00</c:v>
                </c:pt>
                <c:pt idx="91">
                  <c:v>186.50</c:v>
                </c:pt>
                <c:pt idx="92">
                  <c:v>188.00</c:v>
                </c:pt>
                <c:pt idx="93">
                  <c:v>189.50</c:v>
                </c:pt>
                <c:pt idx="94">
                  <c:v>191.00</c:v>
                </c:pt>
                <c:pt idx="95">
                  <c:v>192.50</c:v>
                </c:pt>
                <c:pt idx="96">
                  <c:v>194.00</c:v>
                </c:pt>
                <c:pt idx="97">
                  <c:v>195.50</c:v>
                </c:pt>
                <c:pt idx="98">
                  <c:v>197.00</c:v>
                </c:pt>
                <c:pt idx="99">
                  <c:v>198.50</c:v>
                </c:pt>
                <c:pt idx="100">
                  <c:v>200.00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Sheet1!$J$2:$J$102</c15:sqref>
                  </c15:fullRef>
                </c:ext>
              </c:extLst>
              <c:f>Sheet1!$J$3:$J$102</c:f>
              <c:numCache>
                <c:formatCode>General</c:formatCode>
                <c:ptCount val="100"/>
                <c:pt idx="0">
                  <c:v>2.4845656728640241E-61</c:v>
                </c:pt>
                <c:pt idx="1">
                  <c:v>2.7085382079754416E-57</c:v>
                </c:pt>
                <c:pt idx="2">
                  <c:v>1.6669539592313786E-53</c:v>
                </c:pt>
                <c:pt idx="3">
                  <c:v>6.0251683786170199E-50</c:v>
                </c:pt>
                <c:pt idx="4">
                  <c:v>1.3257917824203522E-46</c:v>
                </c:pt>
                <c:pt idx="5">
                  <c:v>1.8351463379044699E-43</c:v>
                </c:pt>
                <c:pt idx="6">
                  <c:v>1.6464936737055321E-40</c:v>
                </c:pt>
                <c:pt idx="7">
                  <c:v>9.8413679685063114E-38</c:v>
                </c:pt>
                <c:pt idx="8">
                  <c:v>4.0187483051529729E-35</c:v>
                </c:pt>
                <c:pt idx="9">
                  <c:v>1.1474191185378851E-32</c:v>
                </c:pt>
                <c:pt idx="10">
                  <c:v>2.339997967961939E-30</c:v>
                </c:pt>
                <c:pt idx="11">
                  <c:v>3.4763617140091774E-28</c:v>
                </c:pt>
                <c:pt idx="12">
                  <c:v>3.8314292008917116E-26</c:v>
                </c:pt>
                <c:pt idx="13">
                  <c:v>3.1860339558994405E-24</c:v>
                </c:pt>
                <c:pt idx="14">
                  <c:v>2.0304495748213191E-22</c:v>
                </c:pt>
                <c:pt idx="15">
                  <c:v>1.0062453597522668E-20</c:v>
                </c:pt>
                <c:pt idx="16">
                  <c:v>3.9306582817719602E-19</c:v>
                </c:pt>
                <c:pt idx="17">
                  <c:v>1.2256231006912691E-17</c:v>
                </c:pt>
                <c:pt idx="18">
                  <c:v>3.0867016234643508E-16</c:v>
                </c:pt>
                <c:pt idx="19">
                  <c:v>6.348347257101144E-15</c:v>
                </c:pt>
                <c:pt idx="20">
                  <c:v>1.0772880273710072E-13</c:v>
                </c:pt>
                <c:pt idx="21">
                  <c:v>1.523017915491813E-12</c:v>
                </c:pt>
                <c:pt idx="22">
                  <c:v>1.8101740195556667E-11</c:v>
                </c:pt>
                <c:pt idx="23">
                  <c:v>1.8242411648737756E-10</c:v>
                </c:pt>
                <c:pt idx="24">
                  <c:v>1.5713717962079566E-9</c:v>
                </c:pt>
                <c:pt idx="25">
                  <c:v>1.165735676444458E-8</c:v>
                </c:pt>
                <c:pt idx="26">
                  <c:v>7.5015884233357436E-8</c:v>
                </c:pt>
                <c:pt idx="27">
                  <c:v>4.2157920954060987E-7</c:v>
                </c:pt>
                <c:pt idx="28">
                  <c:v>2.0824102065178761E-6</c:v>
                </c:pt>
                <c:pt idx="29">
                  <c:v>9.0962825486722107E-6</c:v>
                </c:pt>
                <c:pt idx="30">
                  <c:v>3.5342361408677617E-5</c:v>
                </c:pt>
                <c:pt idx="31">
                  <c:v>1.2282054275241657E-4</c:v>
                </c:pt>
                <c:pt idx="32">
                  <c:v>3.8379455722807062E-4</c:v>
                </c:pt>
                <c:pt idx="33">
                  <c:v>1.0839225698847685E-3</c:v>
                </c:pt>
                <c:pt idx="34">
                  <c:v>2.7804279385248575E-3</c:v>
                </c:pt>
                <c:pt idx="35">
                  <c:v>6.5090371812209398E-3</c:v>
                </c:pt>
                <c:pt idx="36">
                  <c:v>1.3971398126621022E-2</c:v>
                </c:pt>
                <c:pt idx="37">
                  <c:v>2.7622909673330295E-2</c:v>
                </c:pt>
                <c:pt idx="38">
                  <c:v>5.0532459029585586E-2</c:v>
                </c:pt>
                <c:pt idx="39">
                  <c:v>8.5921084142897119E-2</c:v>
                </c:pt>
                <c:pt idx="40">
                  <c:v>0.13640239334364992</c:v>
                </c:pt>
                <c:pt idx="41">
                  <c:v>0.20310739869356445</c:v>
                </c:pt>
                <c:pt idx="42">
                  <c:v>0.28499627071427613</c:v>
                </c:pt>
                <c:pt idx="43">
                  <c:v>0.37865496076499849</c:v>
                </c:pt>
                <c:pt idx="44">
                  <c:v>0.47872171246739714</c:v>
                </c:pt>
                <c:pt idx="45">
                  <c:v>0.57885046027512743</c:v>
                </c:pt>
                <c:pt idx="46">
                  <c:v>0.67291233736203415</c:v>
                </c:pt>
                <c:pt idx="47">
                  <c:v>0.75606298571217567</c:v>
                </c:pt>
                <c:pt idx="48">
                  <c:v>0.82538661490292309</c:v>
                </c:pt>
                <c:pt idx="49">
                  <c:v>0.88001077345615464</c:v>
                </c:pt>
                <c:pt idx="50">
                  <c:v>0.92077320973731624</c:v>
                </c:pt>
                <c:pt idx="51">
                  <c:v>0.94963701119910826</c:v>
                </c:pt>
                <c:pt idx="52">
                  <c:v>0.9690671133774873</c:v>
                </c:pt>
                <c:pt idx="53">
                  <c:v>0.98152375058982444</c:v>
                </c:pt>
                <c:pt idx="54">
                  <c:v>0.98914233640198457</c:v>
                </c:pt>
                <c:pt idx="55">
                  <c:v>0.99359488460621614</c:v>
                </c:pt>
                <c:pt idx="56">
                  <c:v>0.99608538906230648</c:v>
                </c:pt>
                <c:pt idx="57">
                  <c:v>0.99742065080209052</c:v>
                </c:pt>
                <c:pt idx="58">
                  <c:v>0.99810783862538832</c:v>
                </c:pt>
                <c:pt idx="59">
                  <c:v>0.99844779168657349</c:v>
                </c:pt>
                <c:pt idx="60">
                  <c:v>0.99860966583716826</c:v>
                </c:pt>
                <c:pt idx="61">
                  <c:v>0.99868395217402373</c:v>
                </c:pt>
                <c:pt idx="62">
                  <c:v>0.99871684865617982</c:v>
                </c:pt>
                <c:pt idx="63">
                  <c:v>0.99873092255987328</c:v>
                </c:pt>
                <c:pt idx="64">
                  <c:v>0.99873674627505915</c:v>
                </c:pt>
                <c:pt idx="65">
                  <c:v>0.99873907964266695</c:v>
                </c:pt>
                <c:pt idx="66">
                  <c:v>0.99873998584006041</c:v>
                </c:pt>
                <c:pt idx="67">
                  <c:v>0.99874032731675211</c:v>
                </c:pt>
                <c:pt idx="68">
                  <c:v>0.99874045229188069</c:v>
                </c:pt>
                <c:pt idx="69">
                  <c:v>0.99874049675709875</c:v>
                </c:pt>
                <c:pt idx="70">
                  <c:v>0.99874051215092852</c:v>
                </c:pt>
                <c:pt idx="71">
                  <c:v>0.99874051734111746</c:v>
                </c:pt>
                <c:pt idx="72">
                  <c:v>0.99874051904679562</c:v>
                </c:pt>
                <c:pt idx="73">
                  <c:v>0.99874051959361332</c:v>
                </c:pt>
                <c:pt idx="74">
                  <c:v>0.99874051976475708</c:v>
                </c:pt>
                <c:pt idx="75">
                  <c:v>0.99874051981709078</c:v>
                </c:pt>
                <c:pt idx="76">
                  <c:v>0.99874051983273759</c:v>
                </c:pt>
                <c:pt idx="77">
                  <c:v>0.99874051983731471</c:v>
                </c:pt>
                <c:pt idx="78">
                  <c:v>0.99874051983862566</c:v>
                </c:pt>
                <c:pt idx="79">
                  <c:v>0.99874051983899359</c:v>
                </c:pt>
                <c:pt idx="80">
                  <c:v>0.99874051983909473</c:v>
                </c:pt>
                <c:pt idx="81">
                  <c:v>0.99874051983912204</c:v>
                </c:pt>
                <c:pt idx="82">
                  <c:v>0.99874051983912926</c:v>
                </c:pt>
                <c:pt idx="83">
                  <c:v>0.99874051983913115</c:v>
                </c:pt>
                <c:pt idx="84">
                  <c:v>0.9987405198391317</c:v>
                </c:pt>
                <c:pt idx="85">
                  <c:v>0.99874051983913181</c:v>
                </c:pt>
                <c:pt idx="86">
                  <c:v>0.99874051983913181</c:v>
                </c:pt>
                <c:pt idx="87">
                  <c:v>0.99874051983913181</c:v>
                </c:pt>
                <c:pt idx="88">
                  <c:v>0.99874051983913181</c:v>
                </c:pt>
                <c:pt idx="89">
                  <c:v>0.99874051983913181</c:v>
                </c:pt>
                <c:pt idx="90">
                  <c:v>0.99874051983913181</c:v>
                </c:pt>
                <c:pt idx="91">
                  <c:v>0.99874051983913181</c:v>
                </c:pt>
                <c:pt idx="92">
                  <c:v>0.99874051983913181</c:v>
                </c:pt>
                <c:pt idx="93">
                  <c:v>0.99874051983913181</c:v>
                </c:pt>
                <c:pt idx="94">
                  <c:v>0.99874051983913181</c:v>
                </c:pt>
                <c:pt idx="95">
                  <c:v>0.99874051983913181</c:v>
                </c:pt>
                <c:pt idx="96">
                  <c:v>0.99874051983913181</c:v>
                </c:pt>
                <c:pt idx="97">
                  <c:v>0.99874051983913181</c:v>
                </c:pt>
                <c:pt idx="98">
                  <c:v>0.99874051983913181</c:v>
                </c:pt>
                <c:pt idx="99">
                  <c:v>0.99874051983913181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6-42DF-BB50-A91166A2B1F1}"/>
            </c:ext>
          </c:extLst>
        </c:ser>
        <c:ser>
          <c:idx val="1"/>
          <c:order val="1"/>
          <c:tx>
            <c:strRef>
              <c:f>Sheet1!$K$1</c:f>
              <c:strCache>
                <c:ptCount val="1"/>
                <c:pt idx="0">
                  <c:v>Greek2 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Sheet1!$I:$I</c15:sqref>
                  </c15:fullRef>
                </c:ext>
              </c:extLst>
              <c:f>Sheet1!$I$2:$I$1048576</c:f>
              <c:strCache>
                <c:ptCount val="101"/>
                <c:pt idx="0">
                  <c:v>50.00</c:v>
                </c:pt>
                <c:pt idx="1">
                  <c:v>51.50</c:v>
                </c:pt>
                <c:pt idx="2">
                  <c:v>53.00</c:v>
                </c:pt>
                <c:pt idx="3">
                  <c:v>54.50</c:v>
                </c:pt>
                <c:pt idx="4">
                  <c:v>56.00</c:v>
                </c:pt>
                <c:pt idx="5">
                  <c:v>57.50</c:v>
                </c:pt>
                <c:pt idx="6">
                  <c:v>59.00</c:v>
                </c:pt>
                <c:pt idx="7">
                  <c:v>60.50</c:v>
                </c:pt>
                <c:pt idx="8">
                  <c:v>62.00</c:v>
                </c:pt>
                <c:pt idx="9">
                  <c:v>63.50</c:v>
                </c:pt>
                <c:pt idx="10">
                  <c:v>65.00</c:v>
                </c:pt>
                <c:pt idx="11">
                  <c:v>66.50</c:v>
                </c:pt>
                <c:pt idx="12">
                  <c:v>68.00</c:v>
                </c:pt>
                <c:pt idx="13">
                  <c:v>69.50</c:v>
                </c:pt>
                <c:pt idx="14">
                  <c:v>71.00</c:v>
                </c:pt>
                <c:pt idx="15">
                  <c:v>72.50</c:v>
                </c:pt>
                <c:pt idx="16">
                  <c:v>74.00</c:v>
                </c:pt>
                <c:pt idx="17">
                  <c:v>75.50</c:v>
                </c:pt>
                <c:pt idx="18">
                  <c:v>77.00</c:v>
                </c:pt>
                <c:pt idx="19">
                  <c:v>78.50</c:v>
                </c:pt>
                <c:pt idx="20">
                  <c:v>80.00</c:v>
                </c:pt>
                <c:pt idx="21">
                  <c:v>81.50</c:v>
                </c:pt>
                <c:pt idx="22">
                  <c:v>83.00</c:v>
                </c:pt>
                <c:pt idx="23">
                  <c:v>84.50</c:v>
                </c:pt>
                <c:pt idx="24">
                  <c:v>86.00</c:v>
                </c:pt>
                <c:pt idx="25">
                  <c:v>87.50</c:v>
                </c:pt>
                <c:pt idx="26">
                  <c:v>89.00</c:v>
                </c:pt>
                <c:pt idx="27">
                  <c:v>90.50</c:v>
                </c:pt>
                <c:pt idx="28">
                  <c:v>92.00</c:v>
                </c:pt>
                <c:pt idx="29">
                  <c:v>93.50</c:v>
                </c:pt>
                <c:pt idx="30">
                  <c:v>95.00</c:v>
                </c:pt>
                <c:pt idx="31">
                  <c:v>96.50</c:v>
                </c:pt>
                <c:pt idx="32">
                  <c:v>98.00</c:v>
                </c:pt>
                <c:pt idx="33">
                  <c:v>99.50</c:v>
                </c:pt>
                <c:pt idx="34">
                  <c:v>101.00</c:v>
                </c:pt>
                <c:pt idx="35">
                  <c:v>102.50</c:v>
                </c:pt>
                <c:pt idx="36">
                  <c:v>104.00</c:v>
                </c:pt>
                <c:pt idx="37">
                  <c:v>105.50</c:v>
                </c:pt>
                <c:pt idx="38">
                  <c:v>107.00</c:v>
                </c:pt>
                <c:pt idx="39">
                  <c:v>108.50</c:v>
                </c:pt>
                <c:pt idx="40">
                  <c:v>110.00</c:v>
                </c:pt>
                <c:pt idx="41">
                  <c:v>111.50</c:v>
                </c:pt>
                <c:pt idx="42">
                  <c:v>113.00</c:v>
                </c:pt>
                <c:pt idx="43">
                  <c:v>114.50</c:v>
                </c:pt>
                <c:pt idx="44">
                  <c:v>116.00</c:v>
                </c:pt>
                <c:pt idx="45">
                  <c:v>117.50</c:v>
                </c:pt>
                <c:pt idx="46">
                  <c:v>119.00</c:v>
                </c:pt>
                <c:pt idx="47">
                  <c:v>120.50</c:v>
                </c:pt>
                <c:pt idx="48">
                  <c:v>122.00</c:v>
                </c:pt>
                <c:pt idx="49">
                  <c:v>123.50</c:v>
                </c:pt>
                <c:pt idx="50">
                  <c:v>125.00</c:v>
                </c:pt>
                <c:pt idx="51">
                  <c:v>126.50</c:v>
                </c:pt>
                <c:pt idx="52">
                  <c:v>128.00</c:v>
                </c:pt>
                <c:pt idx="53">
                  <c:v>129.50</c:v>
                </c:pt>
                <c:pt idx="54">
                  <c:v>131.00</c:v>
                </c:pt>
                <c:pt idx="55">
                  <c:v>132.50</c:v>
                </c:pt>
                <c:pt idx="56">
                  <c:v>134.00</c:v>
                </c:pt>
                <c:pt idx="57">
                  <c:v>135.50</c:v>
                </c:pt>
                <c:pt idx="58">
                  <c:v>137.00</c:v>
                </c:pt>
                <c:pt idx="59">
                  <c:v>138.50</c:v>
                </c:pt>
                <c:pt idx="60">
                  <c:v>140.00</c:v>
                </c:pt>
                <c:pt idx="61">
                  <c:v>141.50</c:v>
                </c:pt>
                <c:pt idx="62">
                  <c:v>143.00</c:v>
                </c:pt>
                <c:pt idx="63">
                  <c:v>144.50</c:v>
                </c:pt>
                <c:pt idx="64">
                  <c:v>146.00</c:v>
                </c:pt>
                <c:pt idx="65">
                  <c:v>147.50</c:v>
                </c:pt>
                <c:pt idx="66">
                  <c:v>149.00</c:v>
                </c:pt>
                <c:pt idx="67">
                  <c:v>150.50</c:v>
                </c:pt>
                <c:pt idx="68">
                  <c:v>152.00</c:v>
                </c:pt>
                <c:pt idx="69">
                  <c:v>153.50</c:v>
                </c:pt>
                <c:pt idx="70">
                  <c:v>155.00</c:v>
                </c:pt>
                <c:pt idx="71">
                  <c:v>156.50</c:v>
                </c:pt>
                <c:pt idx="72">
                  <c:v>158.00</c:v>
                </c:pt>
                <c:pt idx="73">
                  <c:v>159.50</c:v>
                </c:pt>
                <c:pt idx="74">
                  <c:v>161.00</c:v>
                </c:pt>
                <c:pt idx="75">
                  <c:v>162.50</c:v>
                </c:pt>
                <c:pt idx="76">
                  <c:v>164.00</c:v>
                </c:pt>
                <c:pt idx="77">
                  <c:v>165.50</c:v>
                </c:pt>
                <c:pt idx="78">
                  <c:v>167.00</c:v>
                </c:pt>
                <c:pt idx="79">
                  <c:v>168.50</c:v>
                </c:pt>
                <c:pt idx="80">
                  <c:v>170.00</c:v>
                </c:pt>
                <c:pt idx="81">
                  <c:v>171.50</c:v>
                </c:pt>
                <c:pt idx="82">
                  <c:v>173.00</c:v>
                </c:pt>
                <c:pt idx="83">
                  <c:v>174.50</c:v>
                </c:pt>
                <c:pt idx="84">
                  <c:v>176.00</c:v>
                </c:pt>
                <c:pt idx="85">
                  <c:v>177.50</c:v>
                </c:pt>
                <c:pt idx="86">
                  <c:v>179.00</c:v>
                </c:pt>
                <c:pt idx="87">
                  <c:v>180.50</c:v>
                </c:pt>
                <c:pt idx="88">
                  <c:v>182.00</c:v>
                </c:pt>
                <c:pt idx="89">
                  <c:v>183.50</c:v>
                </c:pt>
                <c:pt idx="90">
                  <c:v>185.00</c:v>
                </c:pt>
                <c:pt idx="91">
                  <c:v>186.50</c:v>
                </c:pt>
                <c:pt idx="92">
                  <c:v>188.00</c:v>
                </c:pt>
                <c:pt idx="93">
                  <c:v>189.50</c:v>
                </c:pt>
                <c:pt idx="94">
                  <c:v>191.00</c:v>
                </c:pt>
                <c:pt idx="95">
                  <c:v>192.50</c:v>
                </c:pt>
                <c:pt idx="96">
                  <c:v>194.00</c:v>
                </c:pt>
                <c:pt idx="97">
                  <c:v>195.50</c:v>
                </c:pt>
                <c:pt idx="98">
                  <c:v>197.00</c:v>
                </c:pt>
                <c:pt idx="99">
                  <c:v>198.50</c:v>
                </c:pt>
                <c:pt idx="100">
                  <c:v>200.00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Sheet1!$K$2:$K$102</c15:sqref>
                  </c15:fullRef>
                </c:ext>
              </c:extLst>
              <c:f>Sheet1!$K$3:$K$102</c:f>
              <c:numCache>
                <c:formatCode>General</c:formatCode>
                <c:ptCount val="100"/>
                <c:pt idx="0">
                  <c:v>-2.1525969924383247E-59</c:v>
                </c:pt>
                <c:pt idx="1">
                  <c:v>-2.333535447263488E-55</c:v>
                </c:pt>
                <c:pt idx="2">
                  <c:v>-1.4267074347376087E-51</c:v>
                </c:pt>
                <c:pt idx="3">
                  <c:v>-5.1177696708209781E-48</c:v>
                </c:pt>
                <c:pt idx="4">
                  <c:v>-1.116496635654059E-44</c:v>
                </c:pt>
                <c:pt idx="5">
                  <c:v>-1.5307138800763923E-41</c:v>
                </c:pt>
                <c:pt idx="6">
                  <c:v>-1.3589205221345578E-38</c:v>
                </c:pt>
                <c:pt idx="7">
                  <c:v>-8.029098618947079E-36</c:v>
                </c:pt>
                <c:pt idx="8">
                  <c:v>-3.2377384577896117E-33</c:v>
                </c:pt>
                <c:pt idx="9">
                  <c:v>-9.1194582542833888E-31</c:v>
                </c:pt>
                <c:pt idx="10">
                  <c:v>-1.8327669677774723E-28</c:v>
                </c:pt>
                <c:pt idx="11">
                  <c:v>-2.6804093204663659E-26</c:v>
                </c:pt>
                <c:pt idx="12">
                  <c:v>-2.9050256227253587E-24</c:v>
                </c:pt>
                <c:pt idx="13">
                  <c:v>-2.3728394993620127E-22</c:v>
                </c:pt>
                <c:pt idx="14">
                  <c:v>-1.4836792131845537E-20</c:v>
                </c:pt>
                <c:pt idx="15">
                  <c:v>-7.2055266378598928E-19</c:v>
                </c:pt>
                <c:pt idx="16">
                  <c:v>-2.754902653269488E-17</c:v>
                </c:pt>
                <c:pt idx="17">
                  <c:v>-8.3969312143526514E-16</c:v>
                </c:pt>
                <c:pt idx="18">
                  <c:v>-2.0644309118296728E-14</c:v>
                </c:pt>
                <c:pt idx="19">
                  <c:v>-4.1390497787867459E-13</c:v>
                </c:pt>
                <c:pt idx="20">
                  <c:v>-6.837037267749231E-12</c:v>
                </c:pt>
                <c:pt idx="21">
                  <c:v>-9.394316634806321E-11</c:v>
                </c:pt>
                <c:pt idx="22">
                  <c:v>-1.0834143457008899E-9</c:v>
                </c:pt>
                <c:pt idx="23">
                  <c:v>-1.0575921164355599E-8</c:v>
                </c:pt>
                <c:pt idx="24">
                  <c:v>-8.8079909464992745E-8</c:v>
                </c:pt>
                <c:pt idx="25">
                  <c:v>-6.3053211302597433E-7</c:v>
                </c:pt>
                <c:pt idx="26">
                  <c:v>-3.9071268756938399E-6</c:v>
                </c:pt>
                <c:pt idx="27">
                  <c:v>-2.1096096121368727E-5</c:v>
                </c:pt>
                <c:pt idx="28">
                  <c:v>-9.9874526442423088E-5</c:v>
                </c:pt>
                <c:pt idx="29">
                  <c:v>-4.1704328749393661E-4</c:v>
                </c:pt>
                <c:pt idx="30">
                  <c:v>-1.5445809278883877E-3</c:v>
                </c:pt>
                <c:pt idx="31">
                  <c:v>-5.100908235541368E-3</c:v>
                </c:pt>
                <c:pt idx="32">
                  <c:v>-1.5096679774374192E-2</c:v>
                </c:pt>
                <c:pt idx="33">
                  <c:v>-4.0234488667655811E-2</c:v>
                </c:pt>
                <c:pt idx="34">
                  <c:v>-9.7004456515976709E-2</c:v>
                </c:pt>
                <c:pt idx="35">
                  <c:v>-0.21250658886730237</c:v>
                </c:pt>
                <c:pt idx="36">
                  <c:v>-0.42479809033987043</c:v>
                </c:pt>
                <c:pt idx="37">
                  <c:v>-0.77805186297417139</c:v>
                </c:pt>
                <c:pt idx="38">
                  <c:v>-1.310984720791041</c:v>
                </c:pt>
                <c:pt idx="39">
                  <c:v>-2.0402249140279372</c:v>
                </c:pt>
                <c:pt idx="40">
                  <c:v>-2.9443166486023991</c:v>
                </c:pt>
                <c:pt idx="41">
                  <c:v>-3.95631873530469</c:v>
                </c:pt>
                <c:pt idx="42">
                  <c:v>-4.9711332294765134</c:v>
                </c:pt>
                <c:pt idx="43">
                  <c:v>-5.8677753567969191</c:v>
                </c:pt>
                <c:pt idx="44">
                  <c:v>-6.5396431826308179</c:v>
                </c:pt>
                <c:pt idx="45">
                  <c:v>-6.9215896855826173</c:v>
                </c:pt>
                <c:pt idx="46">
                  <c:v>-7.0038143616238147</c:v>
                </c:pt>
                <c:pt idx="47">
                  <c:v>-6.8285360795288357</c:v>
                </c:pt>
                <c:pt idx="48">
                  <c:v>-6.4726524288113625</c:v>
                </c:pt>
                <c:pt idx="49">
                  <c:v>-6.0243873031418707</c:v>
                </c:pt>
                <c:pt idx="50">
                  <c:v>-5.5624572834392989</c:v>
                </c:pt>
                <c:pt idx="51">
                  <c:v>-5.1432796740079416</c:v>
                </c:pt>
                <c:pt idx="52">
                  <c:v>-4.7974583199654557</c:v>
                </c:pt>
                <c:pt idx="53">
                  <c:v>-4.5333983238795748</c:v>
                </c:pt>
                <c:pt idx="54">
                  <c:v>-4.3444664228105614</c:v>
                </c:pt>
                <c:pt idx="55">
                  <c:v>-4.21645341171764</c:v>
                </c:pt>
                <c:pt idx="56">
                  <c:v>-4.1333651277665728</c:v>
                </c:pt>
                <c:pt idx="57">
                  <c:v>-4.0809112029066847</c:v>
                </c:pt>
                <c:pt idx="58">
                  <c:v>-4.0479767153900879</c:v>
                </c:pt>
                <c:pt idx="59">
                  <c:v>-4.0267482933874588</c:v>
                </c:pt>
                <c:pt idx="60">
                  <c:v>-4.0121630880834687</c:v>
                </c:pt>
                <c:pt idx="61">
                  <c:v>-4.0011604848281763</c:v>
                </c:pt>
                <c:pt idx="62">
                  <c:v>-3.9920001798566846</c:v>
                </c:pt>
                <c:pt idx="63">
                  <c:v>-3.9837458420718348</c:v>
                </c:pt>
                <c:pt idx="64">
                  <c:v>-3.9759186064471983</c:v>
                </c:pt>
                <c:pt idx="65">
                  <c:v>-3.9682848177085956</c:v>
                </c:pt>
                <c:pt idx="66">
                  <c:v>-3.9607353709380599</c:v>
                </c:pt>
                <c:pt idx="67">
                  <c:v>-3.9532213840401726</c:v>
                </c:pt>
                <c:pt idx="68">
                  <c:v>-3.9457217962191362</c:v>
                </c:pt>
                <c:pt idx="69">
                  <c:v>-3.9382278639254991</c:v>
                </c:pt>
                <c:pt idx="70">
                  <c:v>-3.9307360831371181</c:v>
                </c:pt>
                <c:pt idx="71">
                  <c:v>-3.923245096113773</c:v>
                </c:pt>
                <c:pt idx="72">
                  <c:v>-3.9157543934291423</c:v>
                </c:pt>
                <c:pt idx="73">
                  <c:v>-3.908263789749657</c:v>
                </c:pt>
                <c:pt idx="74">
                  <c:v>-3.9007732196140292</c:v>
                </c:pt>
                <c:pt idx="75">
                  <c:v>-3.8932826605480253</c:v>
                </c:pt>
                <c:pt idx="76">
                  <c:v>-3.8857921050434632</c:v>
                </c:pt>
                <c:pt idx="77">
                  <c:v>-3.8783015506570018</c:v>
                </c:pt>
                <c:pt idx="78">
                  <c:v>-3.8708109966133617</c:v>
                </c:pt>
                <c:pt idx="79">
                  <c:v>-3.8633204426724617</c:v>
                </c:pt>
                <c:pt idx="80">
                  <c:v>-3.8558298887616798</c:v>
                </c:pt>
                <c:pt idx="81">
                  <c:v>-3.8483393348595412</c:v>
                </c:pt>
                <c:pt idx="82">
                  <c:v>-3.8408487809598322</c:v>
                </c:pt>
                <c:pt idx="83">
                  <c:v>-3.8333582270607929</c:v>
                </c:pt>
                <c:pt idx="84">
                  <c:v>-3.8258676731619348</c:v>
                </c:pt>
                <c:pt idx="85">
                  <c:v>-3.8183771192631242</c:v>
                </c:pt>
                <c:pt idx="86">
                  <c:v>-3.8108865653643269</c:v>
                </c:pt>
                <c:pt idx="87">
                  <c:v>-3.8033960114655323</c:v>
                </c:pt>
                <c:pt idx="88">
                  <c:v>-3.7959054575667381</c:v>
                </c:pt>
                <c:pt idx="89">
                  <c:v>-3.7884149036679449</c:v>
                </c:pt>
                <c:pt idx="90">
                  <c:v>-3.7809243497691511</c:v>
                </c:pt>
                <c:pt idx="91">
                  <c:v>-3.7734337958703579</c:v>
                </c:pt>
                <c:pt idx="92">
                  <c:v>-3.7659432419715642</c:v>
                </c:pt>
                <c:pt idx="93">
                  <c:v>-3.7584526880727709</c:v>
                </c:pt>
                <c:pt idx="94">
                  <c:v>-3.7509621341739772</c:v>
                </c:pt>
                <c:pt idx="95">
                  <c:v>-3.7434715802751839</c:v>
                </c:pt>
                <c:pt idx="96">
                  <c:v>-3.7359810263763902</c:v>
                </c:pt>
                <c:pt idx="97">
                  <c:v>-3.7284904724775969</c:v>
                </c:pt>
                <c:pt idx="98">
                  <c:v>-3.7209999185788032</c:v>
                </c:pt>
                <c:pt idx="99">
                  <c:v>-3.7135093646800099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B6-42DF-BB50-A91166A2B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0641168"/>
        <c:axId val="382383144"/>
      </c:lineChart>
      <c:catAx>
        <c:axId val="83064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83144"/>
        <c:crosses val="autoZero"/>
        <c:auto val="1"/>
        <c:lblAlgn val="ctr"/>
        <c:lblOffset val="100"/>
        <c:noMultiLvlLbl val="0"/>
      </c:catAx>
      <c:valAx>
        <c:axId val="38238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64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Delta(S) - FRTB(S)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Sheet1!$N$1</c:f>
              <c:strCache>
                <c:ptCount val="1"/>
                <c:pt idx="0">
                  <c:v>DIFF 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Sheet1!$I:$I</c15:sqref>
                  </c15:fullRef>
                </c:ext>
              </c:extLst>
              <c:f>Sheet1!$I$2:$I$1048576</c:f>
              <c:strCache>
                <c:ptCount val="101"/>
                <c:pt idx="0">
                  <c:v>50.00</c:v>
                </c:pt>
                <c:pt idx="1">
                  <c:v>51.50</c:v>
                </c:pt>
                <c:pt idx="2">
                  <c:v>53.00</c:v>
                </c:pt>
                <c:pt idx="3">
                  <c:v>54.50</c:v>
                </c:pt>
                <c:pt idx="4">
                  <c:v>56.00</c:v>
                </c:pt>
                <c:pt idx="5">
                  <c:v>57.50</c:v>
                </c:pt>
                <c:pt idx="6">
                  <c:v>59.00</c:v>
                </c:pt>
                <c:pt idx="7">
                  <c:v>60.50</c:v>
                </c:pt>
                <c:pt idx="8">
                  <c:v>62.00</c:v>
                </c:pt>
                <c:pt idx="9">
                  <c:v>63.50</c:v>
                </c:pt>
                <c:pt idx="10">
                  <c:v>65.00</c:v>
                </c:pt>
                <c:pt idx="11">
                  <c:v>66.50</c:v>
                </c:pt>
                <c:pt idx="12">
                  <c:v>68.00</c:v>
                </c:pt>
                <c:pt idx="13">
                  <c:v>69.50</c:v>
                </c:pt>
                <c:pt idx="14">
                  <c:v>71.00</c:v>
                </c:pt>
                <c:pt idx="15">
                  <c:v>72.50</c:v>
                </c:pt>
                <c:pt idx="16">
                  <c:v>74.00</c:v>
                </c:pt>
                <c:pt idx="17">
                  <c:v>75.50</c:v>
                </c:pt>
                <c:pt idx="18">
                  <c:v>77.00</c:v>
                </c:pt>
                <c:pt idx="19">
                  <c:v>78.50</c:v>
                </c:pt>
                <c:pt idx="20">
                  <c:v>80.00</c:v>
                </c:pt>
                <c:pt idx="21">
                  <c:v>81.50</c:v>
                </c:pt>
                <c:pt idx="22">
                  <c:v>83.00</c:v>
                </c:pt>
                <c:pt idx="23">
                  <c:v>84.50</c:v>
                </c:pt>
                <c:pt idx="24">
                  <c:v>86.00</c:v>
                </c:pt>
                <c:pt idx="25">
                  <c:v>87.50</c:v>
                </c:pt>
                <c:pt idx="26">
                  <c:v>89.00</c:v>
                </c:pt>
                <c:pt idx="27">
                  <c:v>90.50</c:v>
                </c:pt>
                <c:pt idx="28">
                  <c:v>92.00</c:v>
                </c:pt>
                <c:pt idx="29">
                  <c:v>93.50</c:v>
                </c:pt>
                <c:pt idx="30">
                  <c:v>95.00</c:v>
                </c:pt>
                <c:pt idx="31">
                  <c:v>96.50</c:v>
                </c:pt>
                <c:pt idx="32">
                  <c:v>98.00</c:v>
                </c:pt>
                <c:pt idx="33">
                  <c:v>99.50</c:v>
                </c:pt>
                <c:pt idx="34">
                  <c:v>101.00</c:v>
                </c:pt>
                <c:pt idx="35">
                  <c:v>102.50</c:v>
                </c:pt>
                <c:pt idx="36">
                  <c:v>104.00</c:v>
                </c:pt>
                <c:pt idx="37">
                  <c:v>105.50</c:v>
                </c:pt>
                <c:pt idx="38">
                  <c:v>107.00</c:v>
                </c:pt>
                <c:pt idx="39">
                  <c:v>108.50</c:v>
                </c:pt>
                <c:pt idx="40">
                  <c:v>110.00</c:v>
                </c:pt>
                <c:pt idx="41">
                  <c:v>111.50</c:v>
                </c:pt>
                <c:pt idx="42">
                  <c:v>113.00</c:v>
                </c:pt>
                <c:pt idx="43">
                  <c:v>114.50</c:v>
                </c:pt>
                <c:pt idx="44">
                  <c:v>116.00</c:v>
                </c:pt>
                <c:pt idx="45">
                  <c:v>117.50</c:v>
                </c:pt>
                <c:pt idx="46">
                  <c:v>119.00</c:v>
                </c:pt>
                <c:pt idx="47">
                  <c:v>120.50</c:v>
                </c:pt>
                <c:pt idx="48">
                  <c:v>122.00</c:v>
                </c:pt>
                <c:pt idx="49">
                  <c:v>123.50</c:v>
                </c:pt>
                <c:pt idx="50">
                  <c:v>125.00</c:v>
                </c:pt>
                <c:pt idx="51">
                  <c:v>126.50</c:v>
                </c:pt>
                <c:pt idx="52">
                  <c:v>128.00</c:v>
                </c:pt>
                <c:pt idx="53">
                  <c:v>129.50</c:v>
                </c:pt>
                <c:pt idx="54">
                  <c:v>131.00</c:v>
                </c:pt>
                <c:pt idx="55">
                  <c:v>132.50</c:v>
                </c:pt>
                <c:pt idx="56">
                  <c:v>134.00</c:v>
                </c:pt>
                <c:pt idx="57">
                  <c:v>135.50</c:v>
                </c:pt>
                <c:pt idx="58">
                  <c:v>137.00</c:v>
                </c:pt>
                <c:pt idx="59">
                  <c:v>138.50</c:v>
                </c:pt>
                <c:pt idx="60">
                  <c:v>140.00</c:v>
                </c:pt>
                <c:pt idx="61">
                  <c:v>141.50</c:v>
                </c:pt>
                <c:pt idx="62">
                  <c:v>143.00</c:v>
                </c:pt>
                <c:pt idx="63">
                  <c:v>144.50</c:v>
                </c:pt>
                <c:pt idx="64">
                  <c:v>146.00</c:v>
                </c:pt>
                <c:pt idx="65">
                  <c:v>147.50</c:v>
                </c:pt>
                <c:pt idx="66">
                  <c:v>149.00</c:v>
                </c:pt>
                <c:pt idx="67">
                  <c:v>150.50</c:v>
                </c:pt>
                <c:pt idx="68">
                  <c:v>152.00</c:v>
                </c:pt>
                <c:pt idx="69">
                  <c:v>153.50</c:v>
                </c:pt>
                <c:pt idx="70">
                  <c:v>155.00</c:v>
                </c:pt>
                <c:pt idx="71">
                  <c:v>156.50</c:v>
                </c:pt>
                <c:pt idx="72">
                  <c:v>158.00</c:v>
                </c:pt>
                <c:pt idx="73">
                  <c:v>159.50</c:v>
                </c:pt>
                <c:pt idx="74">
                  <c:v>161.00</c:v>
                </c:pt>
                <c:pt idx="75">
                  <c:v>162.50</c:v>
                </c:pt>
                <c:pt idx="76">
                  <c:v>164.00</c:v>
                </c:pt>
                <c:pt idx="77">
                  <c:v>165.50</c:v>
                </c:pt>
                <c:pt idx="78">
                  <c:v>167.00</c:v>
                </c:pt>
                <c:pt idx="79">
                  <c:v>168.50</c:v>
                </c:pt>
                <c:pt idx="80">
                  <c:v>170.00</c:v>
                </c:pt>
                <c:pt idx="81">
                  <c:v>171.50</c:v>
                </c:pt>
                <c:pt idx="82">
                  <c:v>173.00</c:v>
                </c:pt>
                <c:pt idx="83">
                  <c:v>174.50</c:v>
                </c:pt>
                <c:pt idx="84">
                  <c:v>176.00</c:v>
                </c:pt>
                <c:pt idx="85">
                  <c:v>177.50</c:v>
                </c:pt>
                <c:pt idx="86">
                  <c:v>179.00</c:v>
                </c:pt>
                <c:pt idx="87">
                  <c:v>180.50</c:v>
                </c:pt>
                <c:pt idx="88">
                  <c:v>182.00</c:v>
                </c:pt>
                <c:pt idx="89">
                  <c:v>183.50</c:v>
                </c:pt>
                <c:pt idx="90">
                  <c:v>185.00</c:v>
                </c:pt>
                <c:pt idx="91">
                  <c:v>186.50</c:v>
                </c:pt>
                <c:pt idx="92">
                  <c:v>188.00</c:v>
                </c:pt>
                <c:pt idx="93">
                  <c:v>189.50</c:v>
                </c:pt>
                <c:pt idx="94">
                  <c:v>191.00</c:v>
                </c:pt>
                <c:pt idx="95">
                  <c:v>192.50</c:v>
                </c:pt>
                <c:pt idx="96">
                  <c:v>194.00</c:v>
                </c:pt>
                <c:pt idx="97">
                  <c:v>195.50</c:v>
                </c:pt>
                <c:pt idx="98">
                  <c:v>197.00</c:v>
                </c:pt>
                <c:pt idx="99">
                  <c:v>198.50</c:v>
                </c:pt>
                <c:pt idx="100">
                  <c:v>200.00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Sheet1!$N$2:$N$102</c15:sqref>
                  </c15:fullRef>
                </c:ext>
              </c:extLst>
              <c:f>Sheet1!$N$3:$N$102</c:f>
              <c:numCache>
                <c:formatCode>General</c:formatCode>
                <c:ptCount val="100"/>
                <c:pt idx="0">
                  <c:v>-1.6689336226578882E-60</c:v>
                </c:pt>
                <c:pt idx="1">
                  <c:v>-1.6539094172741192E-56</c:v>
                </c:pt>
                <c:pt idx="2">
                  <c:v>-9.2737024036724706E-53</c:v>
                </c:pt>
                <c:pt idx="3">
                  <c:v>-3.0600971814175084E-49</c:v>
                </c:pt>
                <c:pt idx="4">
                  <c:v>-6.1586502599327941E-46</c:v>
                </c:pt>
                <c:pt idx="5">
                  <c:v>-7.8101821761359222E-43</c:v>
                </c:pt>
                <c:pt idx="6">
                  <c:v>-6.4298215589739158E-40</c:v>
                </c:pt>
                <c:pt idx="7">
                  <c:v>-3.5313940042437487E-37</c:v>
                </c:pt>
                <c:pt idx="8">
                  <c:v>-1.3267065389385809E-34</c:v>
                </c:pt>
                <c:pt idx="9">
                  <c:v>-3.4888423273457552E-32</c:v>
                </c:pt>
                <c:pt idx="10">
                  <c:v>-6.5595489408154836E-30</c:v>
                </c:pt>
                <c:pt idx="11">
                  <c:v>-8.9918775380393538E-28</c:v>
                </c:pt>
                <c:pt idx="12">
                  <c:v>-9.1509371908669105E-26</c:v>
                </c:pt>
                <c:pt idx="13">
                  <c:v>-7.0305990770878644E-24</c:v>
                </c:pt>
                <c:pt idx="14">
                  <c:v>-4.1416635905119789E-22</c:v>
                </c:pt>
                <c:pt idx="15">
                  <c:v>-1.8979129744375039E-20</c:v>
                </c:pt>
                <c:pt idx="16">
                  <c:v>-6.856803284900407E-19</c:v>
                </c:pt>
                <c:pt idx="17">
                  <c:v>-1.9775874403695556E-17</c:v>
                </c:pt>
                <c:pt idx="18">
                  <c:v>-4.6065616291104601E-16</c:v>
                </c:pt>
                <c:pt idx="19">
                  <c:v>-8.7612965919589535E-15</c:v>
                </c:pt>
                <c:pt idx="20">
                  <c:v>-1.3744389204311775E-13</c:v>
                </c:pt>
                <c:pt idx="21">
                  <c:v>-1.7954790994575689E-12</c:v>
                </c:pt>
                <c:pt idx="22">
                  <c:v>-1.9706291280271048E-11</c:v>
                </c:pt>
                <c:pt idx="23">
                  <c:v>-1.8324440357632012E-10</c:v>
                </c:pt>
                <c:pt idx="24">
                  <c:v>-1.455016011722171E-9</c:v>
                </c:pt>
                <c:pt idx="25">
                  <c:v>-9.9385053839026153E-9</c:v>
                </c:pt>
                <c:pt idx="26">
                  <c:v>-5.880387850046932E-8</c:v>
                </c:pt>
                <c:pt idx="27">
                  <c:v>-3.0336257478948977E-7</c:v>
                </c:pt>
                <c:pt idx="28">
                  <c:v>-1.3729843958684731E-6</c:v>
                </c:pt>
                <c:pt idx="29">
                  <c:v>-5.4832958429266232E-6</c:v>
                </c:pt>
                <c:pt idx="30">
                  <c:v>-1.9430063393782264E-5</c:v>
                </c:pt>
                <c:pt idx="31">
                  <c:v>-6.1406734266930042E-5</c:v>
                </c:pt>
                <c:pt idx="32">
                  <c:v>-1.7393922316568804E-4</c:v>
                </c:pt>
                <c:pt idx="33">
                  <c:v>-4.436445982164462E-4</c:v>
                </c:pt>
                <c:pt idx="34">
                  <c:v>-1.0233845866998667E-3</c:v>
                </c:pt>
                <c:pt idx="35">
                  <c:v>-2.1439704541511753E-3</c:v>
                </c:pt>
                <c:pt idx="36">
                  <c:v>-4.0953593762684259E-3</c:v>
                </c:pt>
                <c:pt idx="37">
                  <c:v>-7.1595923628707397E-3</c:v>
                </c:pt>
                <c:pt idx="38">
                  <c:v>-1.1496233239278238E-2</c:v>
                </c:pt>
                <c:pt idx="39">
                  <c:v>-1.7012377040089163E-2</c:v>
                </c:pt>
                <c:pt idx="40">
                  <c:v>-2.3276393192440209E-2</c:v>
                </c:pt>
                <c:pt idx="41">
                  <c:v>-2.9535136037442511E-2</c:v>
                </c:pt>
                <c:pt idx="42">
                  <c:v>-3.4858004221019701E-2</c:v>
                </c:pt>
                <c:pt idx="43">
                  <c:v>-3.8371961395293364E-2</c:v>
                </c:pt>
                <c:pt idx="44">
                  <c:v>-3.9502504033558594E-2</c:v>
                </c:pt>
                <c:pt idx="45">
                  <c:v>-3.8126976968534954E-2</c:v>
                </c:pt>
                <c:pt idx="46">
                  <c:v>-3.4584778034066121E-2</c:v>
                </c:pt>
                <c:pt idx="47">
                  <c:v>-2.955172544621576E-2</c:v>
                </c:pt>
                <c:pt idx="48">
                  <c:v>-2.3838641681971251E-2</c:v>
                </c:pt>
                <c:pt idx="49">
                  <c:v>-1.8192577907516827E-2</c:v>
                </c:pt>
                <c:pt idx="50">
                  <c:v>-1.316116378312393E-2</c:v>
                </c:pt>
                <c:pt idx="51">
                  <c:v>-9.0430933647388523E-3</c:v>
                </c:pt>
                <c:pt idx="52">
                  <c:v>-5.9123739317755719E-3</c:v>
                </c:pt>
                <c:pt idx="53">
                  <c:v>-3.6846346174829181E-3</c:v>
                </c:pt>
                <c:pt idx="54">
                  <c:v>-2.1925418494896931E-3</c:v>
                </c:pt>
                <c:pt idx="55">
                  <c:v>-1.2477425573109713E-3</c:v>
                </c:pt>
                <c:pt idx="56">
                  <c:v>-6.8014170517016748E-4</c:v>
                </c:pt>
                <c:pt idx="57">
                  <c:v>-3.5564546780642026E-4</c:v>
                </c:pt>
                <c:pt idx="58">
                  <c:v>-1.7864816399004724E-4</c:v>
                </c:pt>
                <c:pt idx="59">
                  <c:v>-8.6325340788340199E-5</c:v>
                </c:pt>
                <c:pt idx="60">
                  <c:v>-4.0179811598761717E-5</c:v>
                </c:pt>
                <c:pt idx="61">
                  <c:v>-1.803666316024799E-5</c:v>
                </c:pt>
                <c:pt idx="62">
                  <c:v>-7.8182688543204648E-6</c:v>
                </c:pt>
                <c:pt idx="63">
                  <c:v>-3.2762579172951334E-6</c:v>
                </c:pt>
                <c:pt idx="64">
                  <c:v>-1.3287587677934809E-6</c:v>
                </c:pt>
                <c:pt idx="65">
                  <c:v>-5.2213606771545074E-7</c:v>
                </c:pt>
                <c:pt idx="66">
                  <c:v>-1.989949159897364E-7</c:v>
                </c:pt>
                <c:pt idx="67">
                  <c:v>-7.3630091135257203E-8</c:v>
                </c:pt>
                <c:pt idx="68">
                  <c:v>-2.6475362902012023E-8</c:v>
                </c:pt>
                <c:pt idx="69">
                  <c:v>-9.2598645418107139E-9</c:v>
                </c:pt>
                <c:pt idx="70">
                  <c:v>-3.1530447142102958E-9</c:v>
                </c:pt>
                <c:pt idx="71">
                  <c:v>-1.0461578270337668E-9</c:v>
                </c:pt>
                <c:pt idx="72">
                  <c:v>-3.3850566794058068E-10</c:v>
                </c:pt>
                <c:pt idx="73">
                  <c:v>-1.0689638063610118E-10</c:v>
                </c:pt>
                <c:pt idx="74">
                  <c:v>-3.2962854668028285E-11</c:v>
                </c:pt>
                <c:pt idx="75">
                  <c:v>-9.9416030963084268E-12</c:v>
                </c:pt>
                <c:pt idx="76">
                  <c:v>-2.9404256807197271E-12</c:v>
                </c:pt>
                <c:pt idx="77">
                  <c:v>-8.5020879225794488E-13</c:v>
                </c:pt>
                <c:pt idx="78">
                  <c:v>-2.4857893521357255E-13</c:v>
                </c:pt>
                <c:pt idx="79">
                  <c:v>-6.3504757008558954E-14</c:v>
                </c:pt>
                <c:pt idx="80">
                  <c:v>-9.3258734068513149E-15</c:v>
                </c:pt>
                <c:pt idx="81">
                  <c:v>-1.1879386363489175E-14</c:v>
                </c:pt>
                <c:pt idx="82">
                  <c:v>-1.2212453270876722E-15</c:v>
                </c:pt>
                <c:pt idx="83">
                  <c:v>-4.2188474935755949E-15</c:v>
                </c:pt>
                <c:pt idx="84">
                  <c:v>3.6637359812630166E-15</c:v>
                </c:pt>
                <c:pt idx="85">
                  <c:v>6.9944050551384862E-15</c:v>
                </c:pt>
                <c:pt idx="86">
                  <c:v>-5.773159728050814E-15</c:v>
                </c:pt>
                <c:pt idx="87">
                  <c:v>-6.3282712403633923E-15</c:v>
                </c:pt>
                <c:pt idx="88">
                  <c:v>4.5519144009631418E-15</c:v>
                </c:pt>
                <c:pt idx="89">
                  <c:v>0</c:v>
                </c:pt>
                <c:pt idx="90">
                  <c:v>2.9976021664879227E-15</c:v>
                </c:pt>
                <c:pt idx="91">
                  <c:v>-1.4432899320127035E-15</c:v>
                </c:pt>
                <c:pt idx="92">
                  <c:v>1.5543122344752192E-15</c:v>
                </c:pt>
                <c:pt idx="93">
                  <c:v>-2.7755575615628914E-15</c:v>
                </c:pt>
                <c:pt idx="94">
                  <c:v>2.2204460492503131E-16</c:v>
                </c:pt>
                <c:pt idx="95">
                  <c:v>-4.2188474935755949E-15</c:v>
                </c:pt>
                <c:pt idx="96">
                  <c:v>-1.2212453270876722E-15</c:v>
                </c:pt>
                <c:pt idx="97">
                  <c:v>1.6653345369377348E-15</c:v>
                </c:pt>
                <c:pt idx="98">
                  <c:v>-2.55351295663786E-15</c:v>
                </c:pt>
                <c:pt idx="99">
                  <c:v>3.3306690738754696E-16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EC-4E69-8F3B-5B9928FDA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600784"/>
        <c:axId val="468601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Sheet1!$I$1</c15:sqref>
                        </c15:formulaRef>
                      </c:ext>
                    </c:extLst>
                    <c:strCache>
                      <c:ptCount val="1"/>
                      <c:pt idx="0">
                        <c:v>Spot Value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Sheet1!$I:$I</c15:sqref>
                        </c15:fullRef>
                        <c15:formulaRef>
                          <c15:sqref>Sheet1!$I$2:$I$1048576</c15:sqref>
                        </c15:formulaRef>
                      </c:ext>
                    </c:extLst>
                    <c:strCache>
                      <c:ptCount val="101"/>
                      <c:pt idx="0">
                        <c:v>50.00</c:v>
                      </c:pt>
                      <c:pt idx="1">
                        <c:v>51.50</c:v>
                      </c:pt>
                      <c:pt idx="2">
                        <c:v>53.00</c:v>
                      </c:pt>
                      <c:pt idx="3">
                        <c:v>54.50</c:v>
                      </c:pt>
                      <c:pt idx="4">
                        <c:v>56.00</c:v>
                      </c:pt>
                      <c:pt idx="5">
                        <c:v>57.50</c:v>
                      </c:pt>
                      <c:pt idx="6">
                        <c:v>59.00</c:v>
                      </c:pt>
                      <c:pt idx="7">
                        <c:v>60.50</c:v>
                      </c:pt>
                      <c:pt idx="8">
                        <c:v>62.00</c:v>
                      </c:pt>
                      <c:pt idx="9">
                        <c:v>63.50</c:v>
                      </c:pt>
                      <c:pt idx="10">
                        <c:v>65.00</c:v>
                      </c:pt>
                      <c:pt idx="11">
                        <c:v>66.50</c:v>
                      </c:pt>
                      <c:pt idx="12">
                        <c:v>68.00</c:v>
                      </c:pt>
                      <c:pt idx="13">
                        <c:v>69.50</c:v>
                      </c:pt>
                      <c:pt idx="14">
                        <c:v>71.00</c:v>
                      </c:pt>
                      <c:pt idx="15">
                        <c:v>72.50</c:v>
                      </c:pt>
                      <c:pt idx="16">
                        <c:v>74.00</c:v>
                      </c:pt>
                      <c:pt idx="17">
                        <c:v>75.50</c:v>
                      </c:pt>
                      <c:pt idx="18">
                        <c:v>77.00</c:v>
                      </c:pt>
                      <c:pt idx="19">
                        <c:v>78.50</c:v>
                      </c:pt>
                      <c:pt idx="20">
                        <c:v>80.00</c:v>
                      </c:pt>
                      <c:pt idx="21">
                        <c:v>81.50</c:v>
                      </c:pt>
                      <c:pt idx="22">
                        <c:v>83.00</c:v>
                      </c:pt>
                      <c:pt idx="23">
                        <c:v>84.50</c:v>
                      </c:pt>
                      <c:pt idx="24">
                        <c:v>86.00</c:v>
                      </c:pt>
                      <c:pt idx="25">
                        <c:v>87.50</c:v>
                      </c:pt>
                      <c:pt idx="26">
                        <c:v>89.00</c:v>
                      </c:pt>
                      <c:pt idx="27">
                        <c:v>90.50</c:v>
                      </c:pt>
                      <c:pt idx="28">
                        <c:v>92.00</c:v>
                      </c:pt>
                      <c:pt idx="29">
                        <c:v>93.50</c:v>
                      </c:pt>
                      <c:pt idx="30">
                        <c:v>95.00</c:v>
                      </c:pt>
                      <c:pt idx="31">
                        <c:v>96.50</c:v>
                      </c:pt>
                      <c:pt idx="32">
                        <c:v>98.00</c:v>
                      </c:pt>
                      <c:pt idx="33">
                        <c:v>99.50</c:v>
                      </c:pt>
                      <c:pt idx="34">
                        <c:v>101.00</c:v>
                      </c:pt>
                      <c:pt idx="35">
                        <c:v>102.50</c:v>
                      </c:pt>
                      <c:pt idx="36">
                        <c:v>104.00</c:v>
                      </c:pt>
                      <c:pt idx="37">
                        <c:v>105.50</c:v>
                      </c:pt>
                      <c:pt idx="38">
                        <c:v>107.00</c:v>
                      </c:pt>
                      <c:pt idx="39">
                        <c:v>108.50</c:v>
                      </c:pt>
                      <c:pt idx="40">
                        <c:v>110.00</c:v>
                      </c:pt>
                      <c:pt idx="41">
                        <c:v>111.50</c:v>
                      </c:pt>
                      <c:pt idx="42">
                        <c:v>113.00</c:v>
                      </c:pt>
                      <c:pt idx="43">
                        <c:v>114.50</c:v>
                      </c:pt>
                      <c:pt idx="44">
                        <c:v>116.00</c:v>
                      </c:pt>
                      <c:pt idx="45">
                        <c:v>117.50</c:v>
                      </c:pt>
                      <c:pt idx="46">
                        <c:v>119.00</c:v>
                      </c:pt>
                      <c:pt idx="47">
                        <c:v>120.50</c:v>
                      </c:pt>
                      <c:pt idx="48">
                        <c:v>122.00</c:v>
                      </c:pt>
                      <c:pt idx="49">
                        <c:v>123.50</c:v>
                      </c:pt>
                      <c:pt idx="50">
                        <c:v>125.00</c:v>
                      </c:pt>
                      <c:pt idx="51">
                        <c:v>126.50</c:v>
                      </c:pt>
                      <c:pt idx="52">
                        <c:v>128.00</c:v>
                      </c:pt>
                      <c:pt idx="53">
                        <c:v>129.50</c:v>
                      </c:pt>
                      <c:pt idx="54">
                        <c:v>131.00</c:v>
                      </c:pt>
                      <c:pt idx="55">
                        <c:v>132.50</c:v>
                      </c:pt>
                      <c:pt idx="56">
                        <c:v>134.00</c:v>
                      </c:pt>
                      <c:pt idx="57">
                        <c:v>135.50</c:v>
                      </c:pt>
                      <c:pt idx="58">
                        <c:v>137.00</c:v>
                      </c:pt>
                      <c:pt idx="59">
                        <c:v>138.50</c:v>
                      </c:pt>
                      <c:pt idx="60">
                        <c:v>140.00</c:v>
                      </c:pt>
                      <c:pt idx="61">
                        <c:v>141.50</c:v>
                      </c:pt>
                      <c:pt idx="62">
                        <c:v>143.00</c:v>
                      </c:pt>
                      <c:pt idx="63">
                        <c:v>144.50</c:v>
                      </c:pt>
                      <c:pt idx="64">
                        <c:v>146.00</c:v>
                      </c:pt>
                      <c:pt idx="65">
                        <c:v>147.50</c:v>
                      </c:pt>
                      <c:pt idx="66">
                        <c:v>149.00</c:v>
                      </c:pt>
                      <c:pt idx="67">
                        <c:v>150.50</c:v>
                      </c:pt>
                      <c:pt idx="68">
                        <c:v>152.00</c:v>
                      </c:pt>
                      <c:pt idx="69">
                        <c:v>153.50</c:v>
                      </c:pt>
                      <c:pt idx="70">
                        <c:v>155.00</c:v>
                      </c:pt>
                      <c:pt idx="71">
                        <c:v>156.50</c:v>
                      </c:pt>
                      <c:pt idx="72">
                        <c:v>158.00</c:v>
                      </c:pt>
                      <c:pt idx="73">
                        <c:v>159.50</c:v>
                      </c:pt>
                      <c:pt idx="74">
                        <c:v>161.00</c:v>
                      </c:pt>
                      <c:pt idx="75">
                        <c:v>162.50</c:v>
                      </c:pt>
                      <c:pt idx="76">
                        <c:v>164.00</c:v>
                      </c:pt>
                      <c:pt idx="77">
                        <c:v>165.50</c:v>
                      </c:pt>
                      <c:pt idx="78">
                        <c:v>167.00</c:v>
                      </c:pt>
                      <c:pt idx="79">
                        <c:v>168.50</c:v>
                      </c:pt>
                      <c:pt idx="80">
                        <c:v>170.00</c:v>
                      </c:pt>
                      <c:pt idx="81">
                        <c:v>171.50</c:v>
                      </c:pt>
                      <c:pt idx="82">
                        <c:v>173.00</c:v>
                      </c:pt>
                      <c:pt idx="83">
                        <c:v>174.50</c:v>
                      </c:pt>
                      <c:pt idx="84">
                        <c:v>176.00</c:v>
                      </c:pt>
                      <c:pt idx="85">
                        <c:v>177.50</c:v>
                      </c:pt>
                      <c:pt idx="86">
                        <c:v>179.00</c:v>
                      </c:pt>
                      <c:pt idx="87">
                        <c:v>180.50</c:v>
                      </c:pt>
                      <c:pt idx="88">
                        <c:v>182.00</c:v>
                      </c:pt>
                      <c:pt idx="89">
                        <c:v>183.50</c:v>
                      </c:pt>
                      <c:pt idx="90">
                        <c:v>185.00</c:v>
                      </c:pt>
                      <c:pt idx="91">
                        <c:v>186.50</c:v>
                      </c:pt>
                      <c:pt idx="92">
                        <c:v>188.00</c:v>
                      </c:pt>
                      <c:pt idx="93">
                        <c:v>189.50</c:v>
                      </c:pt>
                      <c:pt idx="94">
                        <c:v>191.00</c:v>
                      </c:pt>
                      <c:pt idx="95">
                        <c:v>192.50</c:v>
                      </c:pt>
                      <c:pt idx="96">
                        <c:v>194.00</c:v>
                      </c:pt>
                      <c:pt idx="97">
                        <c:v>195.50</c:v>
                      </c:pt>
                      <c:pt idx="98">
                        <c:v>197.00</c:v>
                      </c:pt>
                      <c:pt idx="99">
                        <c:v>198.50</c:v>
                      </c:pt>
                      <c:pt idx="100">
                        <c:v>200.00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Sheet1!$I$2:$I$102</c15:sqref>
                        </c15:fullRef>
                        <c15:formulaRef>
                          <c15:sqref>Sheet1!$I$3:$I$102</c15:sqref>
                        </c15:formulaRef>
                      </c:ext>
                    </c:extLst>
                    <c:numCache>
                      <c:formatCode>0.00</c:formatCode>
                      <c:ptCount val="100"/>
                      <c:pt idx="0">
                        <c:v>51.5</c:v>
                      </c:pt>
                      <c:pt idx="1">
                        <c:v>53</c:v>
                      </c:pt>
                      <c:pt idx="2">
                        <c:v>54.5</c:v>
                      </c:pt>
                      <c:pt idx="3">
                        <c:v>56</c:v>
                      </c:pt>
                      <c:pt idx="4">
                        <c:v>57.5</c:v>
                      </c:pt>
                      <c:pt idx="5">
                        <c:v>59</c:v>
                      </c:pt>
                      <c:pt idx="6">
                        <c:v>60.5</c:v>
                      </c:pt>
                      <c:pt idx="7">
                        <c:v>62</c:v>
                      </c:pt>
                      <c:pt idx="8">
                        <c:v>63.5</c:v>
                      </c:pt>
                      <c:pt idx="9">
                        <c:v>65</c:v>
                      </c:pt>
                      <c:pt idx="10">
                        <c:v>66.5</c:v>
                      </c:pt>
                      <c:pt idx="11">
                        <c:v>68</c:v>
                      </c:pt>
                      <c:pt idx="12">
                        <c:v>69.5</c:v>
                      </c:pt>
                      <c:pt idx="13">
                        <c:v>71</c:v>
                      </c:pt>
                      <c:pt idx="14">
                        <c:v>72.5</c:v>
                      </c:pt>
                      <c:pt idx="15">
                        <c:v>74</c:v>
                      </c:pt>
                      <c:pt idx="16">
                        <c:v>75.5</c:v>
                      </c:pt>
                      <c:pt idx="17">
                        <c:v>77</c:v>
                      </c:pt>
                      <c:pt idx="18">
                        <c:v>78.5</c:v>
                      </c:pt>
                      <c:pt idx="19">
                        <c:v>80</c:v>
                      </c:pt>
                      <c:pt idx="20">
                        <c:v>81.5</c:v>
                      </c:pt>
                      <c:pt idx="21">
                        <c:v>83</c:v>
                      </c:pt>
                      <c:pt idx="22">
                        <c:v>84.5</c:v>
                      </c:pt>
                      <c:pt idx="23">
                        <c:v>86</c:v>
                      </c:pt>
                      <c:pt idx="24">
                        <c:v>87.5</c:v>
                      </c:pt>
                      <c:pt idx="25">
                        <c:v>89</c:v>
                      </c:pt>
                      <c:pt idx="26">
                        <c:v>90.5</c:v>
                      </c:pt>
                      <c:pt idx="27">
                        <c:v>92</c:v>
                      </c:pt>
                      <c:pt idx="28">
                        <c:v>93.5</c:v>
                      </c:pt>
                      <c:pt idx="29">
                        <c:v>95</c:v>
                      </c:pt>
                      <c:pt idx="30">
                        <c:v>96.5</c:v>
                      </c:pt>
                      <c:pt idx="31">
                        <c:v>98</c:v>
                      </c:pt>
                      <c:pt idx="32">
                        <c:v>99.5</c:v>
                      </c:pt>
                      <c:pt idx="33">
                        <c:v>101</c:v>
                      </c:pt>
                      <c:pt idx="34">
                        <c:v>102.5</c:v>
                      </c:pt>
                      <c:pt idx="35">
                        <c:v>104</c:v>
                      </c:pt>
                      <c:pt idx="36">
                        <c:v>105.5</c:v>
                      </c:pt>
                      <c:pt idx="37">
                        <c:v>107</c:v>
                      </c:pt>
                      <c:pt idx="38">
                        <c:v>108.5</c:v>
                      </c:pt>
                      <c:pt idx="39">
                        <c:v>110</c:v>
                      </c:pt>
                      <c:pt idx="40">
                        <c:v>111.5</c:v>
                      </c:pt>
                      <c:pt idx="41">
                        <c:v>113</c:v>
                      </c:pt>
                      <c:pt idx="42">
                        <c:v>114.5</c:v>
                      </c:pt>
                      <c:pt idx="43">
                        <c:v>116</c:v>
                      </c:pt>
                      <c:pt idx="44">
                        <c:v>117.5</c:v>
                      </c:pt>
                      <c:pt idx="45">
                        <c:v>119</c:v>
                      </c:pt>
                      <c:pt idx="46">
                        <c:v>120.5</c:v>
                      </c:pt>
                      <c:pt idx="47">
                        <c:v>122</c:v>
                      </c:pt>
                      <c:pt idx="48">
                        <c:v>123.5</c:v>
                      </c:pt>
                      <c:pt idx="49">
                        <c:v>125</c:v>
                      </c:pt>
                      <c:pt idx="50">
                        <c:v>126.5</c:v>
                      </c:pt>
                      <c:pt idx="51">
                        <c:v>128</c:v>
                      </c:pt>
                      <c:pt idx="52">
                        <c:v>129.5</c:v>
                      </c:pt>
                      <c:pt idx="53">
                        <c:v>131</c:v>
                      </c:pt>
                      <c:pt idx="54">
                        <c:v>132.5</c:v>
                      </c:pt>
                      <c:pt idx="55">
                        <c:v>134</c:v>
                      </c:pt>
                      <c:pt idx="56">
                        <c:v>135.5</c:v>
                      </c:pt>
                      <c:pt idx="57">
                        <c:v>137</c:v>
                      </c:pt>
                      <c:pt idx="58">
                        <c:v>138.5</c:v>
                      </c:pt>
                      <c:pt idx="59">
                        <c:v>140</c:v>
                      </c:pt>
                      <c:pt idx="60">
                        <c:v>141.5</c:v>
                      </c:pt>
                      <c:pt idx="61">
                        <c:v>143</c:v>
                      </c:pt>
                      <c:pt idx="62">
                        <c:v>144.5</c:v>
                      </c:pt>
                      <c:pt idx="63">
                        <c:v>146</c:v>
                      </c:pt>
                      <c:pt idx="64">
                        <c:v>147.5</c:v>
                      </c:pt>
                      <c:pt idx="65">
                        <c:v>149</c:v>
                      </c:pt>
                      <c:pt idx="66">
                        <c:v>150.5</c:v>
                      </c:pt>
                      <c:pt idx="67">
                        <c:v>152</c:v>
                      </c:pt>
                      <c:pt idx="68">
                        <c:v>153.5</c:v>
                      </c:pt>
                      <c:pt idx="69">
                        <c:v>155</c:v>
                      </c:pt>
                      <c:pt idx="70">
                        <c:v>156.5</c:v>
                      </c:pt>
                      <c:pt idx="71">
                        <c:v>158</c:v>
                      </c:pt>
                      <c:pt idx="72">
                        <c:v>159.5</c:v>
                      </c:pt>
                      <c:pt idx="73">
                        <c:v>161</c:v>
                      </c:pt>
                      <c:pt idx="74">
                        <c:v>162.5</c:v>
                      </c:pt>
                      <c:pt idx="75">
                        <c:v>164</c:v>
                      </c:pt>
                      <c:pt idx="76">
                        <c:v>165.5</c:v>
                      </c:pt>
                      <c:pt idx="77">
                        <c:v>167</c:v>
                      </c:pt>
                      <c:pt idx="78">
                        <c:v>168.5</c:v>
                      </c:pt>
                      <c:pt idx="79">
                        <c:v>170</c:v>
                      </c:pt>
                      <c:pt idx="80">
                        <c:v>171.5</c:v>
                      </c:pt>
                      <c:pt idx="81">
                        <c:v>173</c:v>
                      </c:pt>
                      <c:pt idx="82">
                        <c:v>174.5</c:v>
                      </c:pt>
                      <c:pt idx="83">
                        <c:v>176</c:v>
                      </c:pt>
                      <c:pt idx="84">
                        <c:v>177.5</c:v>
                      </c:pt>
                      <c:pt idx="85">
                        <c:v>179</c:v>
                      </c:pt>
                      <c:pt idx="86">
                        <c:v>180.5</c:v>
                      </c:pt>
                      <c:pt idx="87">
                        <c:v>182</c:v>
                      </c:pt>
                      <c:pt idx="88">
                        <c:v>183.5</c:v>
                      </c:pt>
                      <c:pt idx="89">
                        <c:v>185</c:v>
                      </c:pt>
                      <c:pt idx="90">
                        <c:v>186.5</c:v>
                      </c:pt>
                      <c:pt idx="91">
                        <c:v>188</c:v>
                      </c:pt>
                      <c:pt idx="92">
                        <c:v>189.5</c:v>
                      </c:pt>
                      <c:pt idx="93">
                        <c:v>191</c:v>
                      </c:pt>
                      <c:pt idx="94">
                        <c:v>192.5</c:v>
                      </c:pt>
                      <c:pt idx="95">
                        <c:v>194</c:v>
                      </c:pt>
                      <c:pt idx="96">
                        <c:v>195.5</c:v>
                      </c:pt>
                      <c:pt idx="97">
                        <c:v>197</c:v>
                      </c:pt>
                      <c:pt idx="98">
                        <c:v>198.5</c:v>
                      </c:pt>
                      <c:pt idx="99">
                        <c:v>200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8EC-4E69-8F3B-5B9928FDAF66}"/>
                  </c:ext>
                </c:extLst>
              </c15:ser>
            </c15:filteredLineSeries>
          </c:ext>
        </c:extLst>
      </c:lineChart>
      <c:catAx>
        <c:axId val="46860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01112"/>
        <c:crosses val="autoZero"/>
        <c:auto val="1"/>
        <c:lblAlgn val="ctr"/>
        <c:lblOffset val="100"/>
        <c:noMultiLvlLbl val="0"/>
      </c:catAx>
      <c:valAx>
        <c:axId val="46860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0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$F$10" fmlaRange="$A$12:$A$17" noThreeD="1" sel="1" val="0"/>
</file>

<file path=xl/ctrlProps/ctrlProp2.xml><?xml version="1.0" encoding="utf-8"?>
<formControlPr xmlns="http://schemas.microsoft.com/office/spreadsheetml/2009/9/main" objectType="Drop" dropStyle="combo" dx="26" fmlaLink="$F$11" fmlaRange="$A$12:$A$17" noThreeD="1" sel="4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9</xdr:row>
          <xdr:rowOff>0</xdr:rowOff>
        </xdr:from>
        <xdr:to>
          <xdr:col>5</xdr:col>
          <xdr:colOff>0</xdr:colOff>
          <xdr:row>10</xdr:row>
          <xdr:rowOff>22860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10</xdr:row>
          <xdr:rowOff>22860</xdr:rowOff>
        </xdr:from>
        <xdr:to>
          <xdr:col>5</xdr:col>
          <xdr:colOff>0</xdr:colOff>
          <xdr:row>11</xdr:row>
          <xdr:rowOff>45720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19</xdr:row>
          <xdr:rowOff>53340</xdr:rowOff>
        </xdr:from>
        <xdr:to>
          <xdr:col>4</xdr:col>
          <xdr:colOff>662940</xdr:colOff>
          <xdr:row>21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746760</xdr:colOff>
          <xdr:row>19</xdr:row>
          <xdr:rowOff>7620</xdr:rowOff>
        </xdr:from>
        <xdr:to>
          <xdr:col>2</xdr:col>
          <xdr:colOff>708660</xdr:colOff>
          <xdr:row>21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419548</xdr:colOff>
      <xdr:row>5</xdr:row>
      <xdr:rowOff>146796</xdr:rowOff>
    </xdr:from>
    <xdr:to>
      <xdr:col>23</xdr:col>
      <xdr:colOff>114748</xdr:colOff>
      <xdr:row>20</xdr:row>
      <xdr:rowOff>146797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370114</xdr:colOff>
      <xdr:row>1</xdr:row>
      <xdr:rowOff>54428</xdr:rowOff>
    </xdr:from>
    <xdr:to>
      <xdr:col>26</xdr:col>
      <xdr:colOff>65314</xdr:colOff>
      <xdr:row>16</xdr:row>
      <xdr:rowOff>21771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71077</xdr:colOff>
      <xdr:row>21</xdr:row>
      <xdr:rowOff>72359</xdr:rowOff>
    </xdr:from>
    <xdr:to>
      <xdr:col>22</xdr:col>
      <xdr:colOff>375877</xdr:colOff>
      <xdr:row>36</xdr:row>
      <xdr:rowOff>39702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21</xdr:row>
          <xdr:rowOff>167640</xdr:rowOff>
        </xdr:from>
        <xdr:to>
          <xdr:col>5</xdr:col>
          <xdr:colOff>0</xdr:colOff>
          <xdr:row>23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Numbers for FRTB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1165412</xdr:colOff>
      <xdr:row>4</xdr:row>
      <xdr:rowOff>98613</xdr:rowOff>
    </xdr:from>
    <xdr:to>
      <xdr:col>11</xdr:col>
      <xdr:colOff>17929</xdr:colOff>
      <xdr:row>26</xdr:row>
      <xdr:rowOff>35860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2"/>
  <sheetViews>
    <sheetView tabSelected="1" zoomScale="85" zoomScaleNormal="85" workbookViewId="0">
      <selection activeCell="C25" sqref="B25:C25"/>
    </sheetView>
  </sheetViews>
  <sheetFormatPr defaultRowHeight="14.4" x14ac:dyDescent="0.3"/>
  <cols>
    <col min="1" max="1" width="12.5546875" bestFit="1" customWidth="1"/>
    <col min="2" max="2" width="23.33203125" customWidth="1"/>
    <col min="3" max="3" width="18.21875" bestFit="1" customWidth="1"/>
    <col min="4" max="4" width="17" bestFit="1" customWidth="1"/>
    <col min="5" max="5" width="10" bestFit="1" customWidth="1"/>
    <col min="6" max="6" width="11.5546875" bestFit="1" customWidth="1"/>
    <col min="7" max="7" width="13.6640625" bestFit="1" customWidth="1"/>
    <col min="9" max="9" width="9.6640625" style="9" bestFit="1" customWidth="1"/>
    <col min="10" max="11" width="12" bestFit="1" customWidth="1"/>
    <col min="12" max="12" width="13" bestFit="1" customWidth="1"/>
  </cols>
  <sheetData>
    <row r="1" spans="1:14" x14ac:dyDescent="0.3">
      <c r="I1" s="9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</row>
    <row r="2" spans="1:14" x14ac:dyDescent="0.3">
      <c r="A2" s="10" t="s">
        <v>7</v>
      </c>
      <c r="B2" s="10"/>
      <c r="C2" s="10"/>
      <c r="D2" s="10"/>
      <c r="E2" s="10"/>
      <c r="F2" s="10"/>
      <c r="G2" s="10"/>
      <c r="I2" s="9">
        <v>50</v>
      </c>
      <c r="J2">
        <v>1.2318737735956753E-65</v>
      </c>
      <c r="K2">
        <v>-1.0721870643279632E-63</v>
      </c>
      <c r="L2">
        <v>1.2318737735956753E-65</v>
      </c>
      <c r="M2">
        <v>1.0356558701648074E-64</v>
      </c>
      <c r="N2">
        <v>-9.1246849280523991E-65</v>
      </c>
    </row>
    <row r="3" spans="1:14" x14ac:dyDescent="0.3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I3" s="9">
        <v>51.5</v>
      </c>
      <c r="J3">
        <v>2.4845656728640241E-61</v>
      </c>
      <c r="K3">
        <v>-2.1525969924383247E-59</v>
      </c>
      <c r="L3">
        <v>2.4845656728640241E-61</v>
      </c>
      <c r="M3">
        <v>1.9173901899442905E-60</v>
      </c>
      <c r="N3">
        <v>-1.6689336226578882E-60</v>
      </c>
    </row>
    <row r="4" spans="1:14" x14ac:dyDescent="0.3">
      <c r="A4" s="3">
        <v>120</v>
      </c>
      <c r="B4" s="4">
        <v>0.04</v>
      </c>
      <c r="C4" s="5">
        <v>5.0000000000000001E-3</v>
      </c>
      <c r="D4" s="4">
        <v>0.1</v>
      </c>
      <c r="E4" s="3">
        <v>119</v>
      </c>
      <c r="F4" s="3">
        <v>0</v>
      </c>
      <c r="G4" s="3">
        <v>92</v>
      </c>
      <c r="I4" s="9">
        <v>53</v>
      </c>
      <c r="J4">
        <v>2.7085382079754416E-57</v>
      </c>
      <c r="K4">
        <v>-2.333535447263488E-55</v>
      </c>
      <c r="L4">
        <v>2.7085382079754416E-57</v>
      </c>
      <c r="M4">
        <v>1.9247632380716635E-56</v>
      </c>
      <c r="N4">
        <v>-1.6539094172741192E-56</v>
      </c>
    </row>
    <row r="5" spans="1:14" x14ac:dyDescent="0.3">
      <c r="I5" s="9">
        <v>54.5</v>
      </c>
      <c r="J5">
        <v>1.6669539592313786E-53</v>
      </c>
      <c r="K5">
        <v>-1.4267074347376087E-51</v>
      </c>
      <c r="L5">
        <v>1.6669539592313786E-53</v>
      </c>
      <c r="M5">
        <v>1.0940656362903848E-52</v>
      </c>
      <c r="N5">
        <v>-9.2737024036724706E-53</v>
      </c>
    </row>
    <row r="6" spans="1:14" x14ac:dyDescent="0.3">
      <c r="I6" s="9">
        <v>56</v>
      </c>
      <c r="J6">
        <v>6.0251683786170199E-50</v>
      </c>
      <c r="K6">
        <v>-5.1177696708209781E-48</v>
      </c>
      <c r="L6">
        <v>6.0251683786170199E-50</v>
      </c>
      <c r="M6">
        <v>3.6626140192792102E-49</v>
      </c>
      <c r="N6">
        <v>-3.0600971814175084E-49</v>
      </c>
    </row>
    <row r="7" spans="1:14" x14ac:dyDescent="0.3">
      <c r="A7" s="3" t="s">
        <v>15</v>
      </c>
      <c r="B7" s="3">
        <f>(LN(A4/E4)+(B4-C4+D4*D4/2)*(G4-F4)/365)/(D4*SQRT((G4-F4)/365))</f>
        <v>0.36750163894707516</v>
      </c>
      <c r="I7" s="9">
        <v>57.5</v>
      </c>
      <c r="J7">
        <v>1.3257917824203522E-46</v>
      </c>
      <c r="K7">
        <v>-1.116496635654059E-44</v>
      </c>
      <c r="L7">
        <v>1.3257917824203522E-46</v>
      </c>
      <c r="M7">
        <v>7.4844420423531461E-46</v>
      </c>
      <c r="N7">
        <v>-6.1586502599327941E-46</v>
      </c>
    </row>
    <row r="8" spans="1:14" x14ac:dyDescent="0.3">
      <c r="A8" s="3" t="s">
        <v>16</v>
      </c>
      <c r="B8" s="3">
        <f>B7-D4*SQRT((G4-F4)/365)</f>
        <v>0.31729657998679228</v>
      </c>
      <c r="I8" s="9">
        <v>59</v>
      </c>
      <c r="J8">
        <v>1.8351463379044699E-43</v>
      </c>
      <c r="K8">
        <v>-1.5307138800763923E-41</v>
      </c>
      <c r="L8">
        <v>1.8351463379044699E-43</v>
      </c>
      <c r="M8">
        <v>9.6453285140403921E-43</v>
      </c>
      <c r="N8">
        <v>-7.8101821761359222E-43</v>
      </c>
    </row>
    <row r="9" spans="1:14" x14ac:dyDescent="0.3">
      <c r="D9" s="10" t="s">
        <v>18</v>
      </c>
      <c r="E9" s="10"/>
      <c r="F9" s="2" t="s">
        <v>21</v>
      </c>
      <c r="G9" s="2" t="s">
        <v>22</v>
      </c>
      <c r="I9" s="9">
        <v>60.5</v>
      </c>
      <c r="J9">
        <v>1.6464936737055321E-40</v>
      </c>
      <c r="K9">
        <v>-1.3589205221345578E-38</v>
      </c>
      <c r="L9">
        <v>1.6464936737055321E-40</v>
      </c>
      <c r="M9">
        <v>8.0763152326794479E-40</v>
      </c>
      <c r="N9">
        <v>-6.4298215589739158E-40</v>
      </c>
    </row>
    <row r="10" spans="1:14" x14ac:dyDescent="0.3">
      <c r="A10" s="10" t="s">
        <v>17</v>
      </c>
      <c r="B10" s="10"/>
      <c r="D10" s="2" t="s">
        <v>19</v>
      </c>
      <c r="E10" s="6"/>
      <c r="F10" s="6">
        <v>1</v>
      </c>
      <c r="G10" s="6">
        <f>INDEX(B12:B17,F10)</f>
        <v>0.64256724395176734</v>
      </c>
      <c r="I10" s="9">
        <v>62</v>
      </c>
      <c r="J10">
        <v>9.8413679685063114E-38</v>
      </c>
      <c r="K10">
        <v>-8.029098618947079E-36</v>
      </c>
      <c r="L10">
        <v>9.8413679685063114E-38</v>
      </c>
      <c r="M10">
        <v>4.5155308010943798E-37</v>
      </c>
      <c r="N10">
        <v>-3.5313940042437487E-37</v>
      </c>
    </row>
    <row r="11" spans="1:14" x14ac:dyDescent="0.3">
      <c r="A11" s="2" t="s">
        <v>8</v>
      </c>
      <c r="B11" s="3">
        <f>A4*EXP(-C4*(G4-F4)/365)*_xlfn.NORM.DIST(B7,0,1,TRUE)-E4*EXP(-B4*(G4-F4)/365)*_xlfn.NORM.DIST(B8,0,1,TRUE)</f>
        <v>3.53916191127513</v>
      </c>
      <c r="D11" s="2" t="s">
        <v>20</v>
      </c>
      <c r="E11" s="6"/>
      <c r="F11" s="6">
        <v>4</v>
      </c>
      <c r="G11" s="6">
        <f>INDEX(B12:B17,F11)</f>
        <v>-7.008026931406711</v>
      </c>
      <c r="I11" s="9">
        <v>63.5</v>
      </c>
      <c r="J11">
        <v>4.0187483051529729E-35</v>
      </c>
      <c r="K11">
        <v>-3.2377384577896117E-33</v>
      </c>
      <c r="L11">
        <v>4.0187483051529729E-35</v>
      </c>
      <c r="M11">
        <v>1.7285813694538783E-34</v>
      </c>
      <c r="N11">
        <v>-1.3267065389385809E-34</v>
      </c>
    </row>
    <row r="12" spans="1:14" x14ac:dyDescent="0.3">
      <c r="A12" s="2" t="s">
        <v>9</v>
      </c>
      <c r="B12" s="3">
        <f>EXP(-C4*(G4-F4)/365)*_xlfn.NORM.DIST(B7,0,1,TRUE)</f>
        <v>0.64256724395176734</v>
      </c>
      <c r="D12" s="1"/>
      <c r="E12" s="1"/>
      <c r="I12" s="9">
        <v>65</v>
      </c>
      <c r="J12">
        <v>1.1474191185378851E-32</v>
      </c>
      <c r="K12">
        <v>-9.1194582542833888E-31</v>
      </c>
      <c r="L12">
        <v>1.1474191185378851E-32</v>
      </c>
      <c r="M12">
        <v>4.6362614458836405E-32</v>
      </c>
      <c r="N12">
        <v>-3.4888423273457552E-32</v>
      </c>
    </row>
    <row r="13" spans="1:14" x14ac:dyDescent="0.3">
      <c r="A13" s="2" t="s">
        <v>10</v>
      </c>
      <c r="B13" s="3">
        <f>1/SQRT(2*PI())*EXP(-B7*B7/2)*EXP(-C4*(G4-F4)/365)/(A4*D4*SQRT((G4-F4)/365))</f>
        <v>6.1816819211948523E-2</v>
      </c>
      <c r="D13" s="10" t="s">
        <v>23</v>
      </c>
      <c r="E13" s="11"/>
      <c r="I13" s="9">
        <v>66.5</v>
      </c>
      <c r="J13">
        <v>2.339997967961939E-30</v>
      </c>
      <c r="K13">
        <v>-1.8327669677774723E-28</v>
      </c>
      <c r="L13">
        <v>2.339997967961939E-30</v>
      </c>
      <c r="M13">
        <v>8.8995469087774226E-30</v>
      </c>
      <c r="N13">
        <v>-6.5595489408154836E-30</v>
      </c>
    </row>
    <row r="14" spans="1:14" x14ac:dyDescent="0.3">
      <c r="A14" s="2" t="s">
        <v>11</v>
      </c>
      <c r="B14" s="3">
        <f>A4*SQRT((G4-F4)/365)/SQRT(2*PI())*EXP(-B7*B7/2)*EXP(-C4*(G4-F4)/365)</f>
        <v>22.436964956709435</v>
      </c>
      <c r="D14" s="8" t="s">
        <v>24</v>
      </c>
      <c r="E14" s="3">
        <v>50</v>
      </c>
      <c r="I14" s="9">
        <v>68</v>
      </c>
      <c r="J14">
        <v>3.4763617140091774E-28</v>
      </c>
      <c r="K14">
        <v>-2.6804093204663659E-26</v>
      </c>
      <c r="L14">
        <v>3.4763617140091774E-28</v>
      </c>
      <c r="M14">
        <v>1.2468239252048531E-27</v>
      </c>
      <c r="N14">
        <v>-8.9918775380393538E-28</v>
      </c>
    </row>
    <row r="15" spans="1:14" x14ac:dyDescent="0.3">
      <c r="A15" s="2" t="s">
        <v>12</v>
      </c>
      <c r="B15" s="3">
        <f>(-A4/SQRT(2*PI())*EXP(-B7*B7/2)*D4*EXP(-C4*(G4-F4)/365)/(2*SQRT((G4-F4)/365)) + C4*A4*_xlfn.NORM.DIST(B7,0,1,TRUE)*EXP(-C4*(G4-F4)/365) - B4*E4*EXP(-B4*(G4-F4)/365)*_xlfn.NORM.DIST(B8,0,1,TRUE))</f>
        <v>-7.008026931406711</v>
      </c>
      <c r="D15" s="8" t="s">
        <v>25</v>
      </c>
      <c r="E15" s="3">
        <v>200</v>
      </c>
      <c r="I15" s="9">
        <v>69.5</v>
      </c>
      <c r="J15">
        <v>3.8314292008917116E-26</v>
      </c>
      <c r="K15">
        <v>-2.9050256227253587E-24</v>
      </c>
      <c r="L15">
        <v>3.8314292008917116E-26</v>
      </c>
      <c r="M15">
        <v>1.2982366391758622E-25</v>
      </c>
      <c r="N15">
        <v>-9.1509371908669105E-26</v>
      </c>
    </row>
    <row r="16" spans="1:14" x14ac:dyDescent="0.3">
      <c r="A16" s="2" t="s">
        <v>13</v>
      </c>
      <c r="B16" s="3">
        <f>-(G4-F4)/365*EXP(-C4*(G4-F4)/365)*A4*_xlfn.NORM.DIST(B7,0,1,TRUE)</f>
        <v>-19.435458556787705</v>
      </c>
      <c r="D16" s="8" t="s">
        <v>26</v>
      </c>
      <c r="E16" s="3">
        <v>99</v>
      </c>
      <c r="I16" s="9">
        <v>71</v>
      </c>
      <c r="J16">
        <v>3.1860339558994405E-24</v>
      </c>
      <c r="K16">
        <v>-2.3728394993620127E-22</v>
      </c>
      <c r="L16">
        <v>3.1860339558994405E-24</v>
      </c>
      <c r="M16">
        <v>1.0216633032987305E-23</v>
      </c>
      <c r="N16">
        <v>-7.0305990770878644E-24</v>
      </c>
    </row>
    <row r="17" spans="1:14" x14ac:dyDescent="0.3">
      <c r="A17" s="2" t="s">
        <v>14</v>
      </c>
      <c r="B17" s="3">
        <f>E4*(G4-F4)/365*EXP(-B4*(G4-F4)/365)*_xlfn.NORM.DIST(B8,0,1,TRUE)</f>
        <v>18.543395828466302</v>
      </c>
      <c r="I17" s="9">
        <v>72.5</v>
      </c>
      <c r="J17">
        <v>2.0304495748213191E-22</v>
      </c>
      <c r="K17">
        <v>-1.4836792131845537E-20</v>
      </c>
      <c r="L17">
        <v>2.0304495748213191E-22</v>
      </c>
      <c r="M17">
        <v>6.1721131653332978E-22</v>
      </c>
      <c r="N17">
        <v>-4.1416635905119789E-22</v>
      </c>
    </row>
    <row r="18" spans="1:14" x14ac:dyDescent="0.3">
      <c r="D18" s="7" t="s">
        <v>27</v>
      </c>
      <c r="E18">
        <v>101</v>
      </c>
      <c r="I18" s="9">
        <v>74</v>
      </c>
      <c r="J18">
        <v>1.0062453597522668E-20</v>
      </c>
      <c r="K18">
        <v>-7.2055266378598928E-19</v>
      </c>
      <c r="L18">
        <v>1.0062453597522668E-20</v>
      </c>
      <c r="M18">
        <v>2.9041583341897707E-20</v>
      </c>
      <c r="N18">
        <v>-1.8979129744375039E-20</v>
      </c>
    </row>
    <row r="19" spans="1:14" x14ac:dyDescent="0.3">
      <c r="I19" s="9">
        <v>75.5</v>
      </c>
      <c r="J19">
        <v>3.9306582817719602E-19</v>
      </c>
      <c r="K19">
        <v>-2.754902653269488E-17</v>
      </c>
      <c r="L19">
        <v>3.9306582817719602E-19</v>
      </c>
      <c r="M19">
        <v>1.0787461566672367E-18</v>
      </c>
      <c r="N19">
        <v>-6.856803284900407E-19</v>
      </c>
    </row>
    <row r="20" spans="1:14" x14ac:dyDescent="0.3">
      <c r="I20" s="9">
        <v>77</v>
      </c>
      <c r="J20">
        <v>1.2256231006912691E-17</v>
      </c>
      <c r="K20">
        <v>-8.3969312143526514E-16</v>
      </c>
      <c r="L20">
        <v>1.2256231006912691E-17</v>
      </c>
      <c r="M20">
        <v>3.2032105410608249E-17</v>
      </c>
      <c r="N20">
        <v>-1.9775874403695556E-17</v>
      </c>
    </row>
    <row r="21" spans="1:14" x14ac:dyDescent="0.3">
      <c r="I21" s="9">
        <v>78.5</v>
      </c>
      <c r="J21">
        <v>3.0867016234643508E-16</v>
      </c>
      <c r="K21">
        <v>-2.0644309118296728E-14</v>
      </c>
      <c r="L21">
        <v>3.0867016234643508E-16</v>
      </c>
      <c r="M21">
        <v>7.6932632525748113E-16</v>
      </c>
      <c r="N21">
        <v>-4.6065616291104601E-16</v>
      </c>
    </row>
    <row r="22" spans="1:14" x14ac:dyDescent="0.3">
      <c r="I22" s="9">
        <v>80</v>
      </c>
      <c r="J22">
        <v>6.348347257101144E-15</v>
      </c>
      <c r="K22">
        <v>-4.1390497787867459E-13</v>
      </c>
      <c r="L22">
        <v>6.348347257101144E-15</v>
      </c>
      <c r="M22">
        <v>1.5109643849060098E-14</v>
      </c>
      <c r="N22">
        <v>-8.7612965919589535E-15</v>
      </c>
    </row>
    <row r="23" spans="1:14" x14ac:dyDescent="0.3">
      <c r="I23" s="9">
        <v>81.5</v>
      </c>
      <c r="J23">
        <v>1.0772880273710072E-13</v>
      </c>
      <c r="K23">
        <v>-6.837037267749231E-12</v>
      </c>
      <c r="L23">
        <v>1.0772880273710072E-13</v>
      </c>
      <c r="M23">
        <v>2.4517269478021846E-13</v>
      </c>
      <c r="N23">
        <v>-1.3744389204311775E-13</v>
      </c>
    </row>
    <row r="24" spans="1:14" x14ac:dyDescent="0.3">
      <c r="I24" s="9">
        <v>83</v>
      </c>
      <c r="J24">
        <v>1.523017915491813E-12</v>
      </c>
      <c r="K24">
        <v>-9.394316634806321E-11</v>
      </c>
      <c r="L24">
        <v>1.523017915491813E-12</v>
      </c>
      <c r="M24">
        <v>3.3184970149493819E-12</v>
      </c>
      <c r="N24">
        <v>-1.7954790994575689E-12</v>
      </c>
    </row>
    <row r="25" spans="1:14" x14ac:dyDescent="0.3">
      <c r="I25" s="9">
        <v>84.5</v>
      </c>
      <c r="J25">
        <v>1.8101740195556667E-11</v>
      </c>
      <c r="K25">
        <v>-1.0834143457008899E-9</v>
      </c>
      <c r="L25">
        <v>1.8101740195556667E-11</v>
      </c>
      <c r="M25">
        <v>3.7808031475827715E-11</v>
      </c>
      <c r="N25">
        <v>-1.9706291280271048E-11</v>
      </c>
    </row>
    <row r="26" spans="1:14" x14ac:dyDescent="0.3">
      <c r="I26" s="9">
        <v>86</v>
      </c>
      <c r="J26">
        <v>1.8242411648737756E-10</v>
      </c>
      <c r="K26">
        <v>-1.0575921164355599E-8</v>
      </c>
      <c r="L26">
        <v>1.8242411648737756E-10</v>
      </c>
      <c r="M26">
        <v>3.6566852006369768E-10</v>
      </c>
      <c r="N26">
        <v>-1.8324440357632012E-10</v>
      </c>
    </row>
    <row r="27" spans="1:14" x14ac:dyDescent="0.3">
      <c r="I27" s="9">
        <v>87.5</v>
      </c>
      <c r="J27">
        <v>1.5713717962079566E-9</v>
      </c>
      <c r="K27">
        <v>-8.8079909464992745E-8</v>
      </c>
      <c r="L27">
        <v>1.5713717962079566E-9</v>
      </c>
      <c r="M27">
        <v>3.0263878079301276E-9</v>
      </c>
      <c r="N27">
        <v>-1.455016011722171E-9</v>
      </c>
    </row>
    <row r="28" spans="1:14" x14ac:dyDescent="0.3">
      <c r="I28" s="9">
        <v>89</v>
      </c>
      <c r="J28">
        <v>1.165735676444458E-8</v>
      </c>
      <c r="K28">
        <v>-6.3053211302597433E-7</v>
      </c>
      <c r="L28">
        <v>1.165735676444458E-8</v>
      </c>
      <c r="M28">
        <v>2.1595862148347196E-8</v>
      </c>
      <c r="N28">
        <v>-9.9385053839026153E-9</v>
      </c>
    </row>
    <row r="29" spans="1:14" x14ac:dyDescent="0.3">
      <c r="I29" s="9">
        <v>90.5</v>
      </c>
      <c r="J29">
        <v>7.5015884233357436E-8</v>
      </c>
      <c r="K29">
        <v>-3.9071268756938399E-6</v>
      </c>
      <c r="L29">
        <v>7.5015884233357436E-8</v>
      </c>
      <c r="M29">
        <v>1.3381976273382676E-7</v>
      </c>
      <c r="N29">
        <v>-5.880387850046932E-8</v>
      </c>
    </row>
    <row r="30" spans="1:14" x14ac:dyDescent="0.3">
      <c r="I30" s="9">
        <v>92</v>
      </c>
      <c r="J30">
        <v>4.2157920954060987E-7</v>
      </c>
      <c r="K30">
        <v>-2.1096096121368727E-5</v>
      </c>
      <c r="L30">
        <v>4.2157920954060987E-7</v>
      </c>
      <c r="M30">
        <v>7.2494178433009964E-7</v>
      </c>
      <c r="N30">
        <v>-3.0336257478948977E-7</v>
      </c>
    </row>
    <row r="31" spans="1:14" x14ac:dyDescent="0.3">
      <c r="I31" s="9">
        <v>93.5</v>
      </c>
      <c r="J31">
        <v>2.0824102065178761E-6</v>
      </c>
      <c r="K31">
        <v>-9.9874526442423088E-5</v>
      </c>
      <c r="L31">
        <v>2.0824102065178761E-6</v>
      </c>
      <c r="M31">
        <v>3.4553946023863492E-6</v>
      </c>
      <c r="N31">
        <v>-1.3729843958684731E-6</v>
      </c>
    </row>
    <row r="32" spans="1:14" x14ac:dyDescent="0.3">
      <c r="I32" s="9">
        <v>95</v>
      </c>
      <c r="J32">
        <v>9.0962825486722107E-6</v>
      </c>
      <c r="K32">
        <v>-4.1704328749393661E-4</v>
      </c>
      <c r="L32">
        <v>9.0962825486722107E-6</v>
      </c>
      <c r="M32">
        <v>1.4579578391598834E-5</v>
      </c>
      <c r="N32">
        <v>-5.4832958429266232E-6</v>
      </c>
    </row>
    <row r="33" spans="9:14" x14ac:dyDescent="0.3">
      <c r="I33" s="9">
        <v>96.5</v>
      </c>
      <c r="J33">
        <v>3.5342361408677617E-5</v>
      </c>
      <c r="K33">
        <v>-1.5445809278883877E-3</v>
      </c>
      <c r="L33">
        <v>3.5342361408677617E-5</v>
      </c>
      <c r="M33">
        <v>5.4772424802459881E-5</v>
      </c>
      <c r="N33">
        <v>-1.9430063393782264E-5</v>
      </c>
    </row>
    <row r="34" spans="9:14" x14ac:dyDescent="0.3">
      <c r="I34" s="9">
        <v>98</v>
      </c>
      <c r="J34">
        <v>1.2282054275241657E-4</v>
      </c>
      <c r="K34">
        <v>-5.100908235541368E-3</v>
      </c>
      <c r="L34">
        <v>1.2282054275241657E-4</v>
      </c>
      <c r="M34">
        <v>1.8422727701934661E-4</v>
      </c>
      <c r="N34">
        <v>-6.1406734266930042E-5</v>
      </c>
    </row>
    <row r="35" spans="9:14" x14ac:dyDescent="0.3">
      <c r="I35" s="9">
        <v>99.5</v>
      </c>
      <c r="J35">
        <v>3.8379455722807062E-4</v>
      </c>
      <c r="K35">
        <v>-1.5096679774374192E-2</v>
      </c>
      <c r="L35">
        <v>3.8379455722807062E-4</v>
      </c>
      <c r="M35">
        <v>5.5773378039375866E-4</v>
      </c>
      <c r="N35">
        <v>-1.7393922316568804E-4</v>
      </c>
    </row>
    <row r="36" spans="9:14" x14ac:dyDescent="0.3">
      <c r="I36" s="9">
        <v>101</v>
      </c>
      <c r="J36">
        <v>1.0839225698847685E-3</v>
      </c>
      <c r="K36">
        <v>-4.0234488667655811E-2</v>
      </c>
      <c r="L36">
        <v>1.0839225698847685E-3</v>
      </c>
      <c r="M36">
        <v>1.5275671681012147E-3</v>
      </c>
      <c r="N36">
        <v>-4.436445982164462E-4</v>
      </c>
    </row>
    <row r="37" spans="9:14" x14ac:dyDescent="0.3">
      <c r="I37" s="9">
        <v>102.5</v>
      </c>
      <c r="J37">
        <v>2.7804279385248575E-3</v>
      </c>
      <c r="K37">
        <v>-9.7004456515976709E-2</v>
      </c>
      <c r="L37">
        <v>2.7804279385248575E-3</v>
      </c>
      <c r="M37">
        <v>3.8038125252247241E-3</v>
      </c>
      <c r="N37">
        <v>-1.0233845866998667E-3</v>
      </c>
    </row>
    <row r="38" spans="9:14" x14ac:dyDescent="0.3">
      <c r="I38" s="9">
        <v>104</v>
      </c>
      <c r="J38">
        <v>6.5090371812209398E-3</v>
      </c>
      <c r="K38">
        <v>-0.21250658886730237</v>
      </c>
      <c r="L38">
        <v>6.5090371812209398E-3</v>
      </c>
      <c r="M38">
        <v>8.6530076353721151E-3</v>
      </c>
      <c r="N38">
        <v>-2.1439704541511753E-3</v>
      </c>
    </row>
    <row r="39" spans="9:14" x14ac:dyDescent="0.3">
      <c r="I39" s="9">
        <v>105.5</v>
      </c>
      <c r="J39">
        <v>1.3971398126621022E-2</v>
      </c>
      <c r="K39">
        <v>-0.42479809033987043</v>
      </c>
      <c r="L39">
        <v>1.3971398126621022E-2</v>
      </c>
      <c r="M39">
        <v>1.8066757502889448E-2</v>
      </c>
      <c r="N39">
        <v>-4.0953593762684259E-3</v>
      </c>
    </row>
    <row r="40" spans="9:14" x14ac:dyDescent="0.3">
      <c r="I40" s="9">
        <v>107</v>
      </c>
      <c r="J40">
        <v>2.7622909673330295E-2</v>
      </c>
      <c r="K40">
        <v>-0.77805186297417139</v>
      </c>
      <c r="L40">
        <v>2.7622909673330295E-2</v>
      </c>
      <c r="M40">
        <v>3.4782502036201035E-2</v>
      </c>
      <c r="N40">
        <v>-7.1595923628707397E-3</v>
      </c>
    </row>
    <row r="41" spans="9:14" x14ac:dyDescent="0.3">
      <c r="I41" s="9">
        <v>108.5</v>
      </c>
      <c r="J41">
        <v>5.0532459029585586E-2</v>
      </c>
      <c r="K41">
        <v>-1.310984720791041</v>
      </c>
      <c r="L41">
        <v>5.0532459029585586E-2</v>
      </c>
      <c r="M41">
        <v>6.2028692268863823E-2</v>
      </c>
      <c r="N41">
        <v>-1.1496233239278238E-2</v>
      </c>
    </row>
    <row r="42" spans="9:14" x14ac:dyDescent="0.3">
      <c r="I42" s="9">
        <v>110</v>
      </c>
      <c r="J42">
        <v>8.5921084142897119E-2</v>
      </c>
      <c r="K42">
        <v>-2.0402249140279372</v>
      </c>
      <c r="L42">
        <v>8.5921084142897119E-2</v>
      </c>
      <c r="M42">
        <v>0.10293346118298628</v>
      </c>
      <c r="N42">
        <v>-1.7012377040089163E-2</v>
      </c>
    </row>
    <row r="43" spans="9:14" x14ac:dyDescent="0.3">
      <c r="I43" s="9">
        <v>111.5</v>
      </c>
      <c r="J43">
        <v>0.13640239334364992</v>
      </c>
      <c r="K43">
        <v>-2.9443166486023991</v>
      </c>
      <c r="L43">
        <v>0.13640239334364992</v>
      </c>
      <c r="M43">
        <v>0.15967878653609013</v>
      </c>
      <c r="N43">
        <v>-2.3276393192440209E-2</v>
      </c>
    </row>
    <row r="44" spans="9:14" x14ac:dyDescent="0.3">
      <c r="I44" s="9">
        <v>113</v>
      </c>
      <c r="J44">
        <v>0.20310739869356445</v>
      </c>
      <c r="K44">
        <v>-3.95631873530469</v>
      </c>
      <c r="L44">
        <v>0.20310739869356445</v>
      </c>
      <c r="M44">
        <v>0.23264253473100696</v>
      </c>
      <c r="N44">
        <v>-2.9535136037442511E-2</v>
      </c>
    </row>
    <row r="45" spans="9:14" x14ac:dyDescent="0.3">
      <c r="I45" s="9">
        <v>114.5</v>
      </c>
      <c r="J45">
        <v>0.28499627071427613</v>
      </c>
      <c r="K45">
        <v>-4.9711332294765134</v>
      </c>
      <c r="L45">
        <v>0.28499627071427613</v>
      </c>
      <c r="M45">
        <v>0.31985427493529583</v>
      </c>
      <c r="N45">
        <v>-3.4858004221019701E-2</v>
      </c>
    </row>
    <row r="46" spans="9:14" x14ac:dyDescent="0.3">
      <c r="I46" s="9">
        <v>116</v>
      </c>
      <c r="J46">
        <v>0.37865496076499849</v>
      </c>
      <c r="K46">
        <v>-5.8677753567969191</v>
      </c>
      <c r="L46">
        <v>0.37865496076499849</v>
      </c>
      <c r="M46">
        <v>0.41702692216029186</v>
      </c>
      <c r="N46">
        <v>-3.8371961395293364E-2</v>
      </c>
    </row>
    <row r="47" spans="9:14" x14ac:dyDescent="0.3">
      <c r="I47" s="9">
        <v>117.5</v>
      </c>
      <c r="J47">
        <v>0.47872171246739714</v>
      </c>
      <c r="K47">
        <v>-6.5396431826308179</v>
      </c>
      <c r="L47">
        <v>0.47872171246739714</v>
      </c>
      <c r="M47">
        <v>0.51822421650095574</v>
      </c>
      <c r="N47">
        <v>-3.9502504033558594E-2</v>
      </c>
    </row>
    <row r="48" spans="9:14" x14ac:dyDescent="0.3">
      <c r="I48" s="9">
        <v>119</v>
      </c>
      <c r="J48">
        <v>0.57885046027512743</v>
      </c>
      <c r="K48">
        <v>-6.9215896855826173</v>
      </c>
      <c r="L48">
        <v>0.57885046027512743</v>
      </c>
      <c r="M48">
        <v>0.61697743724366239</v>
      </c>
      <c r="N48">
        <v>-3.8126976968534954E-2</v>
      </c>
    </row>
    <row r="49" spans="9:14" x14ac:dyDescent="0.3">
      <c r="I49" s="9">
        <v>120.5</v>
      </c>
      <c r="J49">
        <v>0.67291233736203415</v>
      </c>
      <c r="K49">
        <v>-7.0038143616238147</v>
      </c>
      <c r="L49">
        <v>0.67291233736203415</v>
      </c>
      <c r="M49">
        <v>0.70749711539610027</v>
      </c>
      <c r="N49">
        <v>-3.4584778034066121E-2</v>
      </c>
    </row>
    <row r="50" spans="9:14" x14ac:dyDescent="0.3">
      <c r="I50" s="9">
        <v>122</v>
      </c>
      <c r="J50">
        <v>0.75606298571217567</v>
      </c>
      <c r="K50">
        <v>-6.8285360795288357</v>
      </c>
      <c r="L50">
        <v>0.75606298571217567</v>
      </c>
      <c r="M50">
        <v>0.78561471115839143</v>
      </c>
      <c r="N50">
        <v>-2.955172544621576E-2</v>
      </c>
    </row>
    <row r="51" spans="9:14" x14ac:dyDescent="0.3">
      <c r="I51" s="9">
        <v>123.5</v>
      </c>
      <c r="J51">
        <v>0.82538661490292309</v>
      </c>
      <c r="K51">
        <v>-6.4726524288113625</v>
      </c>
      <c r="L51">
        <v>0.82538661490292309</v>
      </c>
      <c r="M51">
        <v>0.84922525658489434</v>
      </c>
      <c r="N51">
        <v>-2.3838641681971251E-2</v>
      </c>
    </row>
    <row r="52" spans="9:14" x14ac:dyDescent="0.3">
      <c r="I52" s="9">
        <v>125</v>
      </c>
      <c r="J52">
        <v>0.88001077345615464</v>
      </c>
      <c r="K52">
        <v>-6.0243873031418707</v>
      </c>
      <c r="L52">
        <v>0.88001077345615464</v>
      </c>
      <c r="M52">
        <v>0.89820335136367147</v>
      </c>
      <c r="N52">
        <v>-1.8192577907516827E-2</v>
      </c>
    </row>
    <row r="53" spans="9:14" x14ac:dyDescent="0.3">
      <c r="I53" s="9">
        <v>126.5</v>
      </c>
      <c r="J53">
        <v>0.92077320973731624</v>
      </c>
      <c r="K53">
        <v>-5.5624572834392989</v>
      </c>
      <c r="L53">
        <v>0.92077320973731624</v>
      </c>
      <c r="M53">
        <v>0.93393437352044018</v>
      </c>
      <c r="N53">
        <v>-1.316116378312393E-2</v>
      </c>
    </row>
    <row r="54" spans="9:14" x14ac:dyDescent="0.3">
      <c r="I54" s="9">
        <v>128</v>
      </c>
      <c r="J54">
        <v>0.94963701119910826</v>
      </c>
      <c r="K54">
        <v>-5.1432796740079416</v>
      </c>
      <c r="L54">
        <v>0.94963701119910826</v>
      </c>
      <c r="M54">
        <v>0.95868010456384711</v>
      </c>
      <c r="N54">
        <v>-9.0430933647388523E-3</v>
      </c>
    </row>
    <row r="55" spans="9:14" x14ac:dyDescent="0.3">
      <c r="I55" s="9">
        <v>129.5</v>
      </c>
      <c r="J55">
        <v>0.9690671133774873</v>
      </c>
      <c r="K55">
        <v>-4.7974583199654557</v>
      </c>
      <c r="L55">
        <v>0.9690671133774873</v>
      </c>
      <c r="M55">
        <v>0.97497948730926287</v>
      </c>
      <c r="N55">
        <v>-5.9123739317755719E-3</v>
      </c>
    </row>
    <row r="56" spans="9:14" x14ac:dyDescent="0.3">
      <c r="I56" s="9">
        <v>131</v>
      </c>
      <c r="J56">
        <v>0.98152375058982444</v>
      </c>
      <c r="K56">
        <v>-4.5333983238795748</v>
      </c>
      <c r="L56">
        <v>0.98152375058982444</v>
      </c>
      <c r="M56">
        <v>0.98520838520730736</v>
      </c>
      <c r="N56">
        <v>-3.6846346174829181E-3</v>
      </c>
    </row>
    <row r="57" spans="9:14" x14ac:dyDescent="0.3">
      <c r="I57" s="9">
        <v>132.5</v>
      </c>
      <c r="J57">
        <v>0.98914233640198457</v>
      </c>
      <c r="K57">
        <v>-4.3444664228105614</v>
      </c>
      <c r="L57">
        <v>0.98914233640198457</v>
      </c>
      <c r="M57">
        <v>0.99133487825147426</v>
      </c>
      <c r="N57">
        <v>-2.1925418494896931E-3</v>
      </c>
    </row>
    <row r="58" spans="9:14" x14ac:dyDescent="0.3">
      <c r="I58" s="9">
        <v>134</v>
      </c>
      <c r="J58">
        <v>0.99359488460621614</v>
      </c>
      <c r="K58">
        <v>-4.21645341171764</v>
      </c>
      <c r="L58">
        <v>0.99359488460621614</v>
      </c>
      <c r="M58">
        <v>0.99484262716352712</v>
      </c>
      <c r="N58">
        <v>-1.2477425573109713E-3</v>
      </c>
    </row>
    <row r="59" spans="9:14" x14ac:dyDescent="0.3">
      <c r="I59" s="9">
        <v>135.5</v>
      </c>
      <c r="J59">
        <v>0.99608538906230648</v>
      </c>
      <c r="K59">
        <v>-4.1333651277665728</v>
      </c>
      <c r="L59">
        <v>0.99608538906230648</v>
      </c>
      <c r="M59">
        <v>0.99676553076747665</v>
      </c>
      <c r="N59">
        <v>-6.8014170517016748E-4</v>
      </c>
    </row>
    <row r="60" spans="9:14" x14ac:dyDescent="0.3">
      <c r="I60" s="9">
        <v>137</v>
      </c>
      <c r="J60">
        <v>0.99742065080209052</v>
      </c>
      <c r="K60">
        <v>-4.0809112029066847</v>
      </c>
      <c r="L60">
        <v>0.99742065080209052</v>
      </c>
      <c r="M60">
        <v>0.99777629626989695</v>
      </c>
      <c r="N60">
        <v>-3.5564546780642026E-4</v>
      </c>
    </row>
    <row r="61" spans="9:14" x14ac:dyDescent="0.3">
      <c r="I61" s="9">
        <v>138.5</v>
      </c>
      <c r="J61">
        <v>0.99810783862538832</v>
      </c>
      <c r="K61">
        <v>-4.0479767153900879</v>
      </c>
      <c r="L61">
        <v>0.99810783862538832</v>
      </c>
      <c r="M61">
        <v>0.99828648678937837</v>
      </c>
      <c r="N61">
        <v>-1.7864816399004724E-4</v>
      </c>
    </row>
    <row r="62" spans="9:14" x14ac:dyDescent="0.3">
      <c r="I62" s="9">
        <v>140</v>
      </c>
      <c r="J62">
        <v>0.99844779168657349</v>
      </c>
      <c r="K62">
        <v>-4.0267482933874588</v>
      </c>
      <c r="L62">
        <v>0.99844779168657349</v>
      </c>
      <c r="M62">
        <v>0.99853411702736183</v>
      </c>
      <c r="N62">
        <v>-8.6325340788340199E-5</v>
      </c>
    </row>
    <row r="63" spans="9:14" x14ac:dyDescent="0.3">
      <c r="I63" s="9">
        <v>141.5</v>
      </c>
      <c r="J63">
        <v>0.99860966583716826</v>
      </c>
      <c r="K63">
        <v>-4.0121630880834687</v>
      </c>
      <c r="L63">
        <v>0.99860966583716826</v>
      </c>
      <c r="M63">
        <v>0.99864984564876702</v>
      </c>
      <c r="N63">
        <v>-4.0179811598761717E-5</v>
      </c>
    </row>
    <row r="64" spans="9:14" x14ac:dyDescent="0.3">
      <c r="I64" s="9">
        <v>143</v>
      </c>
      <c r="J64">
        <v>0.99868395217402373</v>
      </c>
      <c r="K64">
        <v>-4.0011604848281763</v>
      </c>
      <c r="L64">
        <v>0.99868395217402373</v>
      </c>
      <c r="M64">
        <v>0.99870198883718397</v>
      </c>
      <c r="N64">
        <v>-1.803666316024799E-5</v>
      </c>
    </row>
    <row r="65" spans="9:14" x14ac:dyDescent="0.3">
      <c r="I65" s="9">
        <v>144.5</v>
      </c>
      <c r="J65">
        <v>0.99871684865617982</v>
      </c>
      <c r="K65">
        <v>-3.9920001798566846</v>
      </c>
      <c r="L65">
        <v>0.99871684865617982</v>
      </c>
      <c r="M65">
        <v>0.99872466692503414</v>
      </c>
      <c r="N65">
        <v>-7.8182688543204648E-6</v>
      </c>
    </row>
    <row r="66" spans="9:14" x14ac:dyDescent="0.3">
      <c r="I66" s="9">
        <v>146</v>
      </c>
      <c r="J66">
        <v>0.99873092255987328</v>
      </c>
      <c r="K66">
        <v>-3.9837458420718348</v>
      </c>
      <c r="L66">
        <v>0.99873092255987328</v>
      </c>
      <c r="M66">
        <v>0.99873419881779057</v>
      </c>
      <c r="N66">
        <v>-3.2762579172951334E-6</v>
      </c>
    </row>
    <row r="67" spans="9:14" x14ac:dyDescent="0.3">
      <c r="I67" s="9">
        <v>147.5</v>
      </c>
      <c r="J67">
        <v>0.99873674627505915</v>
      </c>
      <c r="K67">
        <v>-3.9759186064471983</v>
      </c>
      <c r="L67">
        <v>0.99873674627505915</v>
      </c>
      <c r="M67">
        <v>0.99873807503382694</v>
      </c>
      <c r="N67">
        <v>-1.3287587677934809E-6</v>
      </c>
    </row>
    <row r="68" spans="9:14" x14ac:dyDescent="0.3">
      <c r="I68" s="9">
        <v>149</v>
      </c>
      <c r="J68">
        <v>0.99873907964266695</v>
      </c>
      <c r="K68">
        <v>-3.9682848177085956</v>
      </c>
      <c r="L68">
        <v>0.99873907964266695</v>
      </c>
      <c r="M68">
        <v>0.99873960177873466</v>
      </c>
      <c r="N68">
        <v>-5.2213606771545074E-7</v>
      </c>
    </row>
    <row r="69" spans="9:14" x14ac:dyDescent="0.3">
      <c r="I69" s="9">
        <v>150.5</v>
      </c>
      <c r="J69">
        <v>0.99873998584006041</v>
      </c>
      <c r="K69">
        <v>-3.9607353709380599</v>
      </c>
      <c r="L69">
        <v>0.99873998584006041</v>
      </c>
      <c r="M69">
        <v>0.9987401848349764</v>
      </c>
      <c r="N69">
        <v>-1.989949159897364E-7</v>
      </c>
    </row>
    <row r="70" spans="9:14" x14ac:dyDescent="0.3">
      <c r="I70" s="9">
        <v>152</v>
      </c>
      <c r="J70">
        <v>0.99874032731675211</v>
      </c>
      <c r="K70">
        <v>-3.9532213840401726</v>
      </c>
      <c r="L70">
        <v>0.99874032731675211</v>
      </c>
      <c r="M70">
        <v>0.99874040094684324</v>
      </c>
      <c r="N70">
        <v>-7.3630091135257203E-8</v>
      </c>
    </row>
    <row r="71" spans="9:14" x14ac:dyDescent="0.3">
      <c r="I71" s="9">
        <v>153.5</v>
      </c>
      <c r="J71">
        <v>0.99874045229188069</v>
      </c>
      <c r="K71">
        <v>-3.9457217962191362</v>
      </c>
      <c r="L71">
        <v>0.99874045229188069</v>
      </c>
      <c r="M71">
        <v>0.99874047876724359</v>
      </c>
      <c r="N71">
        <v>-2.6475362902012023E-8</v>
      </c>
    </row>
    <row r="72" spans="9:14" x14ac:dyDescent="0.3">
      <c r="I72" s="9">
        <v>155</v>
      </c>
      <c r="J72">
        <v>0.99874049675709875</v>
      </c>
      <c r="K72">
        <v>-3.9382278639254991</v>
      </c>
      <c r="L72">
        <v>0.99874049675709875</v>
      </c>
      <c r="M72">
        <v>0.99874050601696329</v>
      </c>
      <c r="N72">
        <v>-9.2598645418107139E-9</v>
      </c>
    </row>
    <row r="73" spans="9:14" x14ac:dyDescent="0.3">
      <c r="I73" s="9">
        <v>156.5</v>
      </c>
      <c r="J73">
        <v>0.99874051215092852</v>
      </c>
      <c r="K73">
        <v>-3.9307360831371181</v>
      </c>
      <c r="L73">
        <v>0.99874051215092852</v>
      </c>
      <c r="M73">
        <v>0.99874051530397323</v>
      </c>
      <c r="N73">
        <v>-3.1530447142102958E-9</v>
      </c>
    </row>
    <row r="74" spans="9:14" x14ac:dyDescent="0.3">
      <c r="I74" s="9">
        <v>158</v>
      </c>
      <c r="J74">
        <v>0.99874051734111746</v>
      </c>
      <c r="K74">
        <v>-3.923245096113773</v>
      </c>
      <c r="L74">
        <v>0.99874051734111746</v>
      </c>
      <c r="M74">
        <v>0.99874051838727529</v>
      </c>
      <c r="N74">
        <v>-1.0461578270337668E-9</v>
      </c>
    </row>
    <row r="75" spans="9:14" x14ac:dyDescent="0.3">
      <c r="I75" s="9">
        <v>159.5</v>
      </c>
      <c r="J75">
        <v>0.99874051904679562</v>
      </c>
      <c r="K75">
        <v>-3.9157543934291423</v>
      </c>
      <c r="L75">
        <v>0.99874051904679562</v>
      </c>
      <c r="M75">
        <v>0.99874051938530128</v>
      </c>
      <c r="N75">
        <v>-3.3850566794058068E-10</v>
      </c>
    </row>
    <row r="76" spans="9:14" x14ac:dyDescent="0.3">
      <c r="I76" s="9">
        <v>161</v>
      </c>
      <c r="J76">
        <v>0.99874051959361332</v>
      </c>
      <c r="K76">
        <v>-3.908263789749657</v>
      </c>
      <c r="L76">
        <v>0.99874051959361332</v>
      </c>
      <c r="M76">
        <v>0.9987405197005097</v>
      </c>
      <c r="N76">
        <v>-1.0689638063610118E-10</v>
      </c>
    </row>
    <row r="77" spans="9:14" x14ac:dyDescent="0.3">
      <c r="I77" s="9">
        <v>162.5</v>
      </c>
      <c r="J77">
        <v>0.99874051976475708</v>
      </c>
      <c r="K77">
        <v>-3.9007732196140292</v>
      </c>
      <c r="L77">
        <v>0.99874051976475708</v>
      </c>
      <c r="M77">
        <v>0.99874051979771994</v>
      </c>
      <c r="N77">
        <v>-3.2962854668028285E-11</v>
      </c>
    </row>
    <row r="78" spans="9:14" x14ac:dyDescent="0.3">
      <c r="I78" s="9">
        <v>164</v>
      </c>
      <c r="J78">
        <v>0.99874051981709078</v>
      </c>
      <c r="K78">
        <v>-3.8932826605480253</v>
      </c>
      <c r="L78">
        <v>0.99874051981709078</v>
      </c>
      <c r="M78">
        <v>0.99874051982703238</v>
      </c>
      <c r="N78">
        <v>-9.9416030963084268E-12</v>
      </c>
    </row>
    <row r="79" spans="9:14" x14ac:dyDescent="0.3">
      <c r="I79" s="9">
        <v>165.5</v>
      </c>
      <c r="J79">
        <v>0.99874051983273759</v>
      </c>
      <c r="K79">
        <v>-3.8857921050434632</v>
      </c>
      <c r="L79">
        <v>0.99874051983273759</v>
      </c>
      <c r="M79">
        <v>0.99874051983567802</v>
      </c>
      <c r="N79">
        <v>-2.9404256807197271E-12</v>
      </c>
    </row>
    <row r="80" spans="9:14" x14ac:dyDescent="0.3">
      <c r="I80" s="9">
        <v>167</v>
      </c>
      <c r="J80">
        <v>0.99874051983731471</v>
      </c>
      <c r="K80">
        <v>-3.8783015506570018</v>
      </c>
      <c r="L80">
        <v>0.99874051983731471</v>
      </c>
      <c r="M80">
        <v>0.99874051983816492</v>
      </c>
      <c r="N80">
        <v>-8.5020879225794488E-13</v>
      </c>
    </row>
    <row r="81" spans="9:14" x14ac:dyDescent="0.3">
      <c r="I81" s="9">
        <v>168.5</v>
      </c>
      <c r="J81">
        <v>0.99874051983862566</v>
      </c>
      <c r="K81">
        <v>-3.8708109966133617</v>
      </c>
      <c r="L81">
        <v>0.99874051983862566</v>
      </c>
      <c r="M81">
        <v>0.99874051983887424</v>
      </c>
      <c r="N81">
        <v>-2.4857893521357255E-13</v>
      </c>
    </row>
    <row r="82" spans="9:14" x14ac:dyDescent="0.3">
      <c r="I82" s="9">
        <v>170</v>
      </c>
      <c r="J82">
        <v>0.99874051983899359</v>
      </c>
      <c r="K82">
        <v>-3.8633204426724617</v>
      </c>
      <c r="L82">
        <v>0.99874051983899359</v>
      </c>
      <c r="M82">
        <v>0.99874051983905709</v>
      </c>
      <c r="N82">
        <v>-6.3504757008558954E-14</v>
      </c>
    </row>
    <row r="83" spans="9:14" x14ac:dyDescent="0.3">
      <c r="I83" s="9">
        <v>171.5</v>
      </c>
      <c r="J83">
        <v>0.99874051983909473</v>
      </c>
      <c r="K83">
        <v>-3.8558298887616798</v>
      </c>
      <c r="L83">
        <v>0.99874051983909473</v>
      </c>
      <c r="M83">
        <v>0.99874051983910406</v>
      </c>
      <c r="N83">
        <v>-9.3258734068513149E-15</v>
      </c>
    </row>
    <row r="84" spans="9:14" x14ac:dyDescent="0.3">
      <c r="I84" s="9">
        <v>173</v>
      </c>
      <c r="J84">
        <v>0.99874051983912204</v>
      </c>
      <c r="K84">
        <v>-3.8483393348595412</v>
      </c>
      <c r="L84">
        <v>0.99874051983912204</v>
      </c>
      <c r="M84">
        <v>0.99874051983913392</v>
      </c>
      <c r="N84">
        <v>-1.1879386363489175E-14</v>
      </c>
    </row>
    <row r="85" spans="9:14" x14ac:dyDescent="0.3">
      <c r="I85" s="9">
        <v>174.5</v>
      </c>
      <c r="J85">
        <v>0.99874051983912926</v>
      </c>
      <c r="K85">
        <v>-3.8408487809598322</v>
      </c>
      <c r="L85">
        <v>0.99874051983912926</v>
      </c>
      <c r="M85">
        <v>0.99874051983913048</v>
      </c>
      <c r="N85">
        <v>-1.2212453270876722E-15</v>
      </c>
    </row>
    <row r="86" spans="9:14" x14ac:dyDescent="0.3">
      <c r="I86" s="9">
        <v>176</v>
      </c>
      <c r="J86">
        <v>0.99874051983913115</v>
      </c>
      <c r="K86">
        <v>-3.8333582270607929</v>
      </c>
      <c r="L86">
        <v>0.99874051983913115</v>
      </c>
      <c r="M86">
        <v>0.99874051983913537</v>
      </c>
      <c r="N86">
        <v>-4.2188474935755949E-15</v>
      </c>
    </row>
    <row r="87" spans="9:14" x14ac:dyDescent="0.3">
      <c r="I87" s="9">
        <v>177.5</v>
      </c>
      <c r="J87">
        <v>0.9987405198391317</v>
      </c>
      <c r="K87">
        <v>-3.8258676731619348</v>
      </c>
      <c r="L87">
        <v>0.9987405198391317</v>
      </c>
      <c r="M87">
        <v>0.99874051983912804</v>
      </c>
      <c r="N87">
        <v>3.6637359812630166E-15</v>
      </c>
    </row>
    <row r="88" spans="9:14" x14ac:dyDescent="0.3">
      <c r="I88" s="9">
        <v>179</v>
      </c>
      <c r="J88">
        <v>0.99874051983913181</v>
      </c>
      <c r="K88">
        <v>-3.8183771192631242</v>
      </c>
      <c r="L88">
        <v>0.99874051983913181</v>
      </c>
      <c r="M88">
        <v>0.99874051983912482</v>
      </c>
      <c r="N88">
        <v>6.9944050551384862E-15</v>
      </c>
    </row>
    <row r="89" spans="9:14" x14ac:dyDescent="0.3">
      <c r="I89" s="9">
        <v>180.5</v>
      </c>
      <c r="J89">
        <v>0.99874051983913181</v>
      </c>
      <c r="K89">
        <v>-3.8108865653643269</v>
      </c>
      <c r="L89">
        <v>0.99874051983913181</v>
      </c>
      <c r="M89">
        <v>0.99874051983913759</v>
      </c>
      <c r="N89">
        <v>-5.773159728050814E-15</v>
      </c>
    </row>
    <row r="90" spans="9:14" x14ac:dyDescent="0.3">
      <c r="I90" s="9">
        <v>182</v>
      </c>
      <c r="J90">
        <v>0.99874051983913181</v>
      </c>
      <c r="K90">
        <v>-3.8033960114655323</v>
      </c>
      <c r="L90">
        <v>0.99874051983913181</v>
      </c>
      <c r="M90">
        <v>0.99874051983913814</v>
      </c>
      <c r="N90">
        <v>-6.3282712403633923E-15</v>
      </c>
    </row>
    <row r="91" spans="9:14" x14ac:dyDescent="0.3">
      <c r="I91" s="9">
        <v>183.5</v>
      </c>
      <c r="J91">
        <v>0.99874051983913181</v>
      </c>
      <c r="K91">
        <v>-3.7959054575667381</v>
      </c>
      <c r="L91">
        <v>0.99874051983913181</v>
      </c>
      <c r="M91">
        <v>0.99874051983912726</v>
      </c>
      <c r="N91">
        <v>4.5519144009631418E-15</v>
      </c>
    </row>
    <row r="92" spans="9:14" x14ac:dyDescent="0.3">
      <c r="I92" s="9">
        <v>185</v>
      </c>
      <c r="J92">
        <v>0.99874051983913181</v>
      </c>
      <c r="K92">
        <v>-3.7884149036679449</v>
      </c>
      <c r="L92">
        <v>0.99874051983913181</v>
      </c>
      <c r="M92">
        <v>0.99874051983913181</v>
      </c>
      <c r="N92">
        <v>0</v>
      </c>
    </row>
    <row r="93" spans="9:14" x14ac:dyDescent="0.3">
      <c r="I93" s="9">
        <v>186.5</v>
      </c>
      <c r="J93">
        <v>0.99874051983913181</v>
      </c>
      <c r="K93">
        <v>-3.7809243497691511</v>
      </c>
      <c r="L93">
        <v>0.99874051983913181</v>
      </c>
      <c r="M93">
        <v>0.99874051983912882</v>
      </c>
      <c r="N93">
        <v>2.9976021664879227E-15</v>
      </c>
    </row>
    <row r="94" spans="9:14" x14ac:dyDescent="0.3">
      <c r="I94" s="9">
        <v>188</v>
      </c>
      <c r="J94">
        <v>0.99874051983913181</v>
      </c>
      <c r="K94">
        <v>-3.7734337958703579</v>
      </c>
      <c r="L94">
        <v>0.99874051983913181</v>
      </c>
      <c r="M94">
        <v>0.99874051983913326</v>
      </c>
      <c r="N94">
        <v>-1.4432899320127035E-15</v>
      </c>
    </row>
    <row r="95" spans="9:14" x14ac:dyDescent="0.3">
      <c r="I95" s="9">
        <v>189.5</v>
      </c>
      <c r="J95">
        <v>0.99874051983913181</v>
      </c>
      <c r="K95">
        <v>-3.7659432419715642</v>
      </c>
      <c r="L95">
        <v>0.99874051983913181</v>
      </c>
      <c r="M95">
        <v>0.99874051983913026</v>
      </c>
      <c r="N95">
        <v>1.5543122344752192E-15</v>
      </c>
    </row>
    <row r="96" spans="9:14" x14ac:dyDescent="0.3">
      <c r="I96" s="9">
        <v>191</v>
      </c>
      <c r="J96">
        <v>0.99874051983913181</v>
      </c>
      <c r="K96">
        <v>-3.7584526880727709</v>
      </c>
      <c r="L96">
        <v>0.99874051983913181</v>
      </c>
      <c r="M96">
        <v>0.99874051983913459</v>
      </c>
      <c r="N96">
        <v>-2.7755575615628914E-15</v>
      </c>
    </row>
    <row r="97" spans="9:14" x14ac:dyDescent="0.3">
      <c r="I97" s="9">
        <v>192.5</v>
      </c>
      <c r="J97">
        <v>0.99874051983913181</v>
      </c>
      <c r="K97">
        <v>-3.7509621341739772</v>
      </c>
      <c r="L97">
        <v>0.99874051983913181</v>
      </c>
      <c r="M97">
        <v>0.99874051983913159</v>
      </c>
      <c r="N97">
        <v>2.2204460492503131E-16</v>
      </c>
    </row>
    <row r="98" spans="9:14" x14ac:dyDescent="0.3">
      <c r="I98" s="9">
        <v>194</v>
      </c>
      <c r="J98">
        <v>0.99874051983913181</v>
      </c>
      <c r="K98">
        <v>-3.7434715802751839</v>
      </c>
      <c r="L98">
        <v>0.99874051983913181</v>
      </c>
      <c r="M98">
        <v>0.99874051983913603</v>
      </c>
      <c r="N98">
        <v>-4.2188474935755949E-15</v>
      </c>
    </row>
    <row r="99" spans="9:14" x14ac:dyDescent="0.3">
      <c r="I99" s="9">
        <v>195.5</v>
      </c>
      <c r="J99">
        <v>0.99874051983913181</v>
      </c>
      <c r="K99">
        <v>-3.7359810263763902</v>
      </c>
      <c r="L99">
        <v>0.99874051983913181</v>
      </c>
      <c r="M99">
        <v>0.99874051983913303</v>
      </c>
      <c r="N99">
        <v>-1.2212453270876722E-15</v>
      </c>
    </row>
    <row r="100" spans="9:14" x14ac:dyDescent="0.3">
      <c r="I100" s="9">
        <v>197</v>
      </c>
      <c r="J100">
        <v>0.99874051983913181</v>
      </c>
      <c r="K100">
        <v>-3.7284904724775969</v>
      </c>
      <c r="L100">
        <v>0.99874051983913181</v>
      </c>
      <c r="M100">
        <v>0.99874051983913015</v>
      </c>
      <c r="N100">
        <v>1.6653345369377348E-15</v>
      </c>
    </row>
    <row r="101" spans="9:14" x14ac:dyDescent="0.3">
      <c r="I101" s="9">
        <v>198.5</v>
      </c>
      <c r="J101">
        <v>0.99874051983913181</v>
      </c>
      <c r="K101">
        <v>-3.7209999185788032</v>
      </c>
      <c r="L101">
        <v>0.99874051983913181</v>
      </c>
      <c r="M101">
        <v>0.99874051983913437</v>
      </c>
      <c r="N101">
        <v>-2.55351295663786E-15</v>
      </c>
    </row>
    <row r="102" spans="9:14" x14ac:dyDescent="0.3">
      <c r="I102" s="9">
        <v>200</v>
      </c>
      <c r="J102">
        <v>0.99874051983913181</v>
      </c>
      <c r="K102">
        <v>-3.7135093646800099</v>
      </c>
      <c r="L102">
        <v>0.99874051983913181</v>
      </c>
      <c r="M102">
        <v>0.99874051983913148</v>
      </c>
      <c r="N102">
        <v>3.3306690738754696E-16</v>
      </c>
    </row>
  </sheetData>
  <mergeCells count="4">
    <mergeCell ref="A2:G2"/>
    <mergeCell ref="A10:B10"/>
    <mergeCell ref="D9:E9"/>
    <mergeCell ref="D13:E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4</xdr:col>
                    <xdr:colOff>7620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4</xdr:col>
                    <xdr:colOff>7620</xdr:colOff>
                    <xdr:row>10</xdr:row>
                    <xdr:rowOff>22860</xdr:rowOff>
                  </from>
                  <to>
                    <xdr:col>5</xdr:col>
                    <xdr:colOff>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lot_graph" altText="">
                <anchor moveWithCells="1" sizeWithCells="1">
                  <from>
                    <xdr:col>3</xdr:col>
                    <xdr:colOff>30480</xdr:colOff>
                    <xdr:row>19</xdr:row>
                    <xdr:rowOff>53340</xdr:rowOff>
                  </from>
                  <to>
                    <xdr:col>4</xdr:col>
                    <xdr:colOff>662940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ass_clear">
                <anchor moveWithCells="1" sizeWithCells="1">
                  <from>
                    <xdr:col>1</xdr:col>
                    <xdr:colOff>746760</xdr:colOff>
                    <xdr:row>19</xdr:row>
                    <xdr:rowOff>7620</xdr:rowOff>
                  </from>
                  <to>
                    <xdr:col>2</xdr:col>
                    <xdr:colOff>708660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lot_graph2">
                <anchor moveWithCells="1" sizeWithCells="1">
                  <from>
                    <xdr:col>3</xdr:col>
                    <xdr:colOff>68580</xdr:colOff>
                    <xdr:row>21</xdr:row>
                    <xdr:rowOff>167640</xdr:rowOff>
                  </from>
                  <to>
                    <xdr:col>5</xdr:col>
                    <xdr:colOff>0</xdr:colOff>
                    <xdr:row>23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likeb</dc:creator>
  <cp:lastModifiedBy>likeb</cp:lastModifiedBy>
  <dcterms:created xsi:type="dcterms:W3CDTF">2015-06-05T18:17:20Z</dcterms:created>
  <dcterms:modified xsi:type="dcterms:W3CDTF">2020-02-10T19:51:49Z</dcterms:modified>
</cp:coreProperties>
</file>